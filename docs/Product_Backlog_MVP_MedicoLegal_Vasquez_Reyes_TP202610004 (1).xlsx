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D:\RENATO\2026-1\TP1\cp\"/>
    </mc:Choice>
  </mc:AlternateContent>
  <xr:revisionPtr revIDLastSave="44" documentId="13_ncr:1_{84056912-C232-404E-B88E-B6F9753D93CD}" xr6:coauthVersionLast="47" xr6:coauthVersionMax="47" xr10:uidLastSave="{42B9BBBE-0B94-4280-BDB5-D70A4227D374}"/>
  <bookViews>
    <workbookView xWindow="-120" yWindow="-120" windowWidth="29040" windowHeight="15840" xr2:uid="{00000000-000D-0000-FFFF-FFFF00000000}"/>
  </bookViews>
  <sheets>
    <sheet name="Product Backlog" sheetId="1" r:id="rId1"/>
    <sheet name="Resumen" sheetId="2" r:id="rId2"/>
    <sheet name="Criter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D9" i="2"/>
  <c r="C9" i="2"/>
  <c r="E8" i="2"/>
  <c r="D8" i="2"/>
  <c r="C8" i="2"/>
  <c r="E7" i="2"/>
  <c r="D7" i="2"/>
  <c r="C7" i="2"/>
  <c r="E6" i="2"/>
  <c r="D6" i="2"/>
  <c r="C6" i="2"/>
  <c r="H3" i="2"/>
  <c r="F3" i="2"/>
  <c r="D3" i="2"/>
  <c r="B3" i="2"/>
</calcChain>
</file>

<file path=xl/sharedStrings.xml><?xml version="1.0" encoding="utf-8"?>
<sst xmlns="http://schemas.openxmlformats.org/spreadsheetml/2006/main" count="542" uniqueCount="284">
  <si>
    <t>PRODUCT BACKLOG MVP - Aplicación web para optimizar el proceso de asesoramiento médico-legal utilizando Machine Learning</t>
  </si>
  <si>
    <t>Código</t>
  </si>
  <si>
    <t>Título</t>
  </si>
  <si>
    <t>Usuario involucrado</t>
  </si>
  <si>
    <t>Sprint</t>
  </si>
  <si>
    <t>Módulo MVP</t>
  </si>
  <si>
    <t>Objetivo asociado</t>
  </si>
  <si>
    <t>Prioridad MVP</t>
  </si>
  <si>
    <t>Story Points</t>
  </si>
  <si>
    <t>Responsable</t>
  </si>
  <si>
    <t>Descripción</t>
  </si>
  <si>
    <t>Criterios de aceptación</t>
  </si>
  <si>
    <t>Estado</t>
  </si>
  <si>
    <t>HU-01</t>
  </si>
  <si>
    <t>Registro de usuario por rol</t>
  </si>
  <si>
    <t>Usuario</t>
  </si>
  <si>
    <t>Autenticación y usuarios</t>
  </si>
  <si>
    <t>OE3</t>
  </si>
  <si>
    <t>Alta</t>
  </si>
  <si>
    <t>Vasquez Mathias/Reyes Renato</t>
  </si>
  <si>
    <t>Como usuario quiero registrarme con correo, contraseña y rol para acceder a la plataforma según mi perfil.</t>
  </si>
  <si>
    <t>Permite registrar médico, abogado o administrador; valida formato de correo y contraseña; no permite correos duplicados; muestra mensaje de éxito/error; guarda el usuario en base de datos.</t>
  </si>
  <si>
    <t>No iniciado</t>
  </si>
  <si>
    <t>HU-02</t>
  </si>
  <si>
    <t>Inicio de sesión seguro</t>
  </si>
  <si>
    <t>Como usuario quiero iniciar sesión con mis credenciales para ingresar al sistema.</t>
  </si>
  <si>
    <t>Valida correo y contraseña; crea sesión segura; redirige según rol; muestra errores claros; bloquea acceso con credenciales inválidas.</t>
  </si>
  <si>
    <t>HU-03</t>
  </si>
  <si>
    <t>Cierre de sesión</t>
  </si>
  <si>
    <t>Como usuario quiero cerrar sesión de forma segura para proteger mi cuenta.</t>
  </si>
  <si>
    <t>Elimina sesión/token activo; redirige al login; impide volver a vistas privadas con sesión cerrada.</t>
  </si>
  <si>
    <t>HU-04</t>
  </si>
  <si>
    <t>Recuperación o cambio de contraseña</t>
  </si>
  <si>
    <t>Media</t>
  </si>
  <si>
    <t>Reyes Renato</t>
  </si>
  <si>
    <t>Como usuario quiero recuperar o cambiar mi contraseña para mantener el acceso seguro a mi cuenta.</t>
  </si>
  <si>
    <t>Permite solicitar recuperación; valida nueva contraseña; confirma cambio; no expone datos sensibles.</t>
  </si>
  <si>
    <t>HU-05</t>
  </si>
  <si>
    <t>Redirección y protección de rutas por rol</t>
  </si>
  <si>
    <t>Sistema</t>
  </si>
  <si>
    <t>Como sistema quiero controlar las rutas según rol para que cada usuario acceda solo a sus funciones.</t>
  </si>
  <si>
    <t>Médico accede solo a portal médico; abogado solo a portal abogado; administrador solo a administración; rutas no autorizadas retornan acceso denegado.</t>
  </si>
  <si>
    <t>HU-06</t>
  </si>
  <si>
    <t>Gestión de perfil del médico</t>
  </si>
  <si>
    <t>Médico</t>
  </si>
  <si>
    <t>Perfiles</t>
  </si>
  <si>
    <t>Como médico quiero registrar y editar mi información profesional para que el abogado pueda conocer mi contexto.</t>
  </si>
  <si>
    <t>Permite editar nombre, especialidad, CMP, institución, teléfono y experiencia; valida CMP obligatorio; guarda cambios; muestra perfil actualizado.</t>
  </si>
  <si>
    <t>HU-07</t>
  </si>
  <si>
    <t>Gestión de perfil del abogado</t>
  </si>
  <si>
    <t>Abogado</t>
  </si>
  <si>
    <t>Como abogado quiero registrar y editar mis especialidades legales y áreas médicas atendidas para recibir consultas pertinentes.</t>
  </si>
  <si>
    <t>Permite registrar CAB, especialidades legales, áreas médicas, experiencia, teléfono y bio; guarda correctamente; se usa para matching.</t>
  </si>
  <si>
    <t>HU-08</t>
  </si>
  <si>
    <t>Gestión básica de perfil administrador</t>
  </si>
  <si>
    <t>Administrador</t>
  </si>
  <si>
    <t>Como administrador quiero actualizar mis datos de cuenta para gestionar el sistema.</t>
  </si>
  <si>
    <t>Permite editar datos básicos; valida formato; guarda cambios; conserva permisos de administrador.</t>
  </si>
  <si>
    <t>HU-09</t>
  </si>
  <si>
    <t>Diseño de navegación principal por rol</t>
  </si>
  <si>
    <t>Frontend/UX</t>
  </si>
  <si>
    <t>OE2, OE3</t>
  </si>
  <si>
    <t>Vasquez Mathias</t>
  </si>
  <si>
    <t>Como usuario quiero una navegación clara según mi rol para usar la plataforma sin confusión.</t>
  </si>
  <si>
    <t>Menú médico muestra consultas, documentos y reportes; menú abogado muestra consultas asignadas y respuestas; menú administrador muestra usuarios, dashboards y configuración.</t>
  </si>
  <si>
    <t>HU-10</t>
  </si>
  <si>
    <t>Registro de acciones críticas de autenticación</t>
  </si>
  <si>
    <t>Trazabilidad y auditoría</t>
  </si>
  <si>
    <t>Como sistema quiero registrar accesos y acciones críticas de autenticación para fortalecer la trazabilidad.</t>
  </si>
  <si>
    <t>Registra inicio/cierre de sesión, intentos fallidos y cambios de perfil; almacena usuario, fecha, hora y acción; permite consulta por administrador.</t>
  </si>
  <si>
    <t>HU-11</t>
  </si>
  <si>
    <t>Registrar consulta médico-legal</t>
  </si>
  <si>
    <t>Gestión de consultas</t>
  </si>
  <si>
    <t>Como médico quiero registrar una consulta médico-legal para solicitar orientación especializada.</t>
  </si>
  <si>
    <t>Permite ingresar título, descripción, especialidad médica, tipo de evento, urgencia percibida y contexto simulado; valida campos obligatorios; crea consulta con estado Pendiente.</t>
  </si>
  <si>
    <t>HU-12</t>
  </si>
  <si>
    <t>Registrar datos de contexto clínico-legal simulado</t>
  </si>
  <si>
    <t>Como médico quiero registrar datos de contexto del caso para que el abogado entienda la situación sin crear una historia clínica real.</t>
  </si>
  <si>
    <t>Permite registrar edad referencial, área médica, fecha del evento, resumen y factores relevantes; etiqueta datos como simulados; no solicita información identificable del paciente.</t>
  </si>
  <si>
    <t>HU-13</t>
  </si>
  <si>
    <t>Listar consultas creadas por el médico</t>
  </si>
  <si>
    <t>Como médico quiero ver mis consultas registradas para hacer seguimiento de su atención.</t>
  </si>
  <si>
    <t>Muestra consultas propias; incluye estado, prioridad, fecha y abogado asignado; permite filtrar por estado y prioridad.</t>
  </si>
  <si>
    <t>HU-14</t>
  </si>
  <si>
    <t>Ver detalle de consulta médico-legal</t>
  </si>
  <si>
    <t>Médico/Abogado</t>
  </si>
  <si>
    <t>Como usuario autorizado quiero ver el detalle de una consulta para revisar la información registrada y su estado.</t>
  </si>
  <si>
    <t>Muestra datos de la consulta, contexto, documentos, prioridad, recomendación, respuestas y línea de tiempo; respeta permisos por rol.</t>
  </si>
  <si>
    <t>HU-15</t>
  </si>
  <si>
    <t>Editar consulta antes de asignación</t>
  </si>
  <si>
    <t>Como médico quiero editar una consulta pendiente para corregir información antes de que sea atendida.</t>
  </si>
  <si>
    <t>Permite editar solo consultas en estado Pendiente; registra cambio en trazabilidad; no permite alterar consultas cerradas.</t>
  </si>
  <si>
    <t>HU-16</t>
  </si>
  <si>
    <t>Cambiar estado de consulta</t>
  </si>
  <si>
    <t>Sistema/Abogado</t>
  </si>
  <si>
    <t>Como sistema quiero manejar estados de la consulta para representar el flujo de asesoramiento.</t>
  </si>
  <si>
    <t>Estados mínimos: Pendiente, Clasificada, Asignada, En revisión, Respondida, Cerrada; cada cambio genera evento de trazabilidad.</t>
  </si>
  <si>
    <t>HU-17</t>
  </si>
  <si>
    <t>Panel de consultas disponibles para abogado</t>
  </si>
  <si>
    <t>Como abogado quiero ver consultas disponibles o recomendadas para atender las que correspondan a mi especialidad.</t>
  </si>
  <si>
    <t>Muestra consultas asignadas o sugeridas; permite ordenar por prioridad, fecha, tipo y especialidad; respeta permisos.</t>
  </si>
  <si>
    <t>HU-18</t>
  </si>
  <si>
    <t>Aceptar o rechazar atención de consulta</t>
  </si>
  <si>
    <t>Interacción médico-abogado</t>
  </si>
  <si>
    <t>Como abogado quiero aceptar o rechazar una consulta recomendada para gestionar mi disponibilidad.</t>
  </si>
  <si>
    <t>Permite aceptar consulta y cambiar estado a En revisión; permite rechazar con motivo; registra decisión en trazabilidad.</t>
  </si>
  <si>
    <t>HU-19</t>
  </si>
  <si>
    <t>Ver lista de abogados disponibles y recomendados</t>
  </si>
  <si>
    <t>Medico</t>
  </si>
  <si>
    <t>Como médico quiero poder ver una lista de los abogados disponibles y  recomendados por la aplicación</t>
  </si>
  <si>
    <t>Lista abogados elegibles</t>
  </si>
  <si>
    <t>HU-20</t>
  </si>
  <si>
    <t>Elegir y enviar solicitud de atención de caso a abogado</t>
  </si>
  <si>
    <t>Como médico quiero poder elegir un abogado de la lista y enviar una solicitud de atención de mi caso</t>
  </si>
  <si>
    <t>Enviar solicitud de atención</t>
  </si>
  <si>
    <t>HU-21</t>
  </si>
  <si>
    <t>Registrar respuesta legal preliminar</t>
  </si>
  <si>
    <t>Asesoramiento médico-legal</t>
  </si>
  <si>
    <t>Como abogado quiero registrar una orientación médico-legal preliminar para responder la consulta del médico.</t>
  </si>
  <si>
    <t>Permite redactar respuesta, recomendaciones preventivas y observaciones; guarda fecha y autor; cambia estado a Respondida; no emite decisión legal definitiva.</t>
  </si>
  <si>
    <t>HU-22</t>
  </si>
  <si>
    <t>Visualizar respuesta del abogado</t>
  </si>
  <si>
    <t>Como médico quiero revisar la respuesta del abogado para recibir orientación sobre la consulta registrada.</t>
  </si>
  <si>
    <t>Muestra respuesta, fecha, abogado responsable y estado; permite marcar como revisada; conserva historial.</t>
  </si>
  <si>
    <t>HU-23</t>
  </si>
  <si>
    <t>Cerrar consulta médico-legal</t>
  </si>
  <si>
    <t>Como usuario autorizado quiero cerrar una consulta cuando la orientación haya sido emitida y revisada.</t>
  </si>
  <si>
    <t>Permite cerrar consulta respondida; solicita motivo/cierre; bloquea nuevas ediciones; mantiene consulta consultable en historial.</t>
  </si>
  <si>
    <t>HU-24</t>
  </si>
  <si>
    <t>Cargar documentos de soporte</t>
  </si>
  <si>
    <t>Repositorio documental</t>
  </si>
  <si>
    <t>Como médico quiero adjuntar documentos de soporte para que el abogado tenga más contexto del caso.</t>
  </si>
  <si>
    <t>Permite subir archivos permitidos; valida tamaño y tipo; asocia archivo a consulta; no exige documentos reales identificables; registra carga en trazabilidad.</t>
  </si>
  <si>
    <t>HU-25</t>
  </si>
  <si>
    <t>Listar y descargar documentos de soporte</t>
  </si>
  <si>
    <t>Como usuario autorizado quiero ver y descargar documentos asociados a la consulta para analizarlos.</t>
  </si>
  <si>
    <t>Muestra nombre, tipo, fecha, usuario que cargó y consulta asociada; descarga solo si tiene permiso; registra acceso.</t>
  </si>
  <si>
    <t>HU-26</t>
  </si>
  <si>
    <t>Registrar eventos clínico-legales simulados</t>
  </si>
  <si>
    <t>Eventos de soporte</t>
  </si>
  <si>
    <t>Como médico quiero registrar eventos relevantes del caso para ordenar la línea de tiempo de la consulta.</t>
  </si>
  <si>
    <t>Permite registrar fecha, tipo de evento y descripción; se vincula a consulta; se identifica como información de apoyo, no historia clínica.</t>
  </si>
  <si>
    <t>HU-27</t>
  </si>
  <si>
    <t>Línea de tiempo de consulta</t>
  </si>
  <si>
    <t>Como usuario autorizado quiero visualizar la línea de tiempo de una consulta para comprender su evolución.</t>
  </si>
  <si>
    <t>Muestra creación, clasificación, asignación, documentos, respuestas y cambios de estado; orden cronológico; filtro por tipo de evento.</t>
  </si>
  <si>
    <t>HU-28</t>
  </si>
  <si>
    <t>Historial de consultas por usuario</t>
  </si>
  <si>
    <t>Como médico o abogado quiero revisar mi historial de consultas para consultar casos anteriores.</t>
  </si>
  <si>
    <t>Médico ve sus consultas; abogado ve consultas asignadas/atendidas; permite búsqueda por título, fecha, estado o prioridad.</t>
  </si>
  <si>
    <t>HU-29</t>
  </si>
  <si>
    <t>Clasificar consulta con Machine Learning</t>
  </si>
  <si>
    <t>Machine Learning</t>
  </si>
  <si>
    <t>ML/Reyes Renato</t>
  </si>
  <si>
    <t>Como sistema quiero clasificar la consulta según tipo de caso, urgencia, complejidad y especialidad legal sugerida.</t>
  </si>
  <si>
    <t>Recibe datos de consulta; devuelve tipo, urgencia, complejidad y especialidad sugerida; registra resultado; usa datos simulados/anonimizados.</t>
  </si>
  <si>
    <t>HU-30</t>
  </si>
  <si>
    <t>Priorizar consulta médico-legal</t>
  </si>
  <si>
    <t>Como sistema quiero asignar prioridad a la consulta para orientar el orden de atención.</t>
  </si>
  <si>
    <t>Asigna prioridad Baja, Media, Alta o Crítica; muestra justificación básica; permite ordenar consultas por prioridad; registra resultado.</t>
  </si>
  <si>
    <t>HU-31</t>
  </si>
  <si>
    <t>Recomendar abogado mediante matching</t>
  </si>
  <si>
    <t>Machine Learning/Matching</t>
  </si>
  <si>
    <t>Como sistema quiero recomendar abogados especializados según tipo de consulta, urgencia, especialidad legal y perfil profesional.</t>
  </si>
  <si>
    <t>Devuelve ranking de abogados; considera especialidad legal, área médica, experiencia y disponibilidad; muestra puntaje de compatibilidad; permite fallback manual.</t>
  </si>
  <si>
    <t>HU-32</t>
  </si>
  <si>
    <t>Explicar recomendación del matching</t>
  </si>
  <si>
    <t>XAI/Explicabilidad</t>
  </si>
  <si>
    <t>OE3, OE4</t>
  </si>
  <si>
    <t>Como sistema quiero explicar por qué se recomienda un abogado para que el usuario entienda el criterio de asignación.</t>
  </si>
  <si>
    <t>Muestra factores principales: especialidad, área médica, urgencia, experiencia y similitud; usa lenguaje no determinista; aclara que es apoyo y no decisión definitiva.</t>
  </si>
  <si>
    <t>HU-33</t>
  </si>
  <si>
    <t>Mostrar clasificación y recomendación al médico</t>
  </si>
  <si>
    <t>Machine Learning/UX</t>
  </si>
  <si>
    <t>Como médico quiero ver la clasificación, prioridad y abogado recomendado para conocer el resultado del análisis del sistema.</t>
  </si>
  <si>
    <t>Muestra clasificación, prioridad, abogado sugerido, explicación y estado; evita lenguaje absoluto; permite enviar solicitud o esperar asignación.</t>
  </si>
  <si>
    <t>HU-34</t>
  </si>
  <si>
    <t>Mostrar consultas ordenadas por prioridad al abogado</t>
  </si>
  <si>
    <t>Como abogado quiero ver las consultas recomendadas ordenadas por prioridad para atender primero los casos más urgentes.</t>
  </si>
  <si>
    <t>Lista consultas con prioridad visible; permite filtrar por urgencia y especialidad; resalta consultas críticas; respeta permisos.</t>
  </si>
  <si>
    <t>HU-35</t>
  </si>
  <si>
    <t>Registrar métricas del modelo ML</t>
  </si>
  <si>
    <t>Como sistema quiero registrar métricas del modelo para documentar su desempeño en la validación académica.</t>
  </si>
  <si>
    <t>Registra precisión, recall/F1 si aplica, porcentaje de matching pertinente y tiempo de respuesta; genera evidencia para informe.</t>
  </si>
  <si>
    <t>HU-36</t>
  </si>
  <si>
    <t>Dashboard médico</t>
  </si>
  <si>
    <t>Dashboard</t>
  </si>
  <si>
    <t>Como médico quiero un dashboard de mis consultas para visualizar estados, prioridades y tiempos de respuesta.</t>
  </si>
  <si>
    <t>Muestra total de consultas, pendientes, en revisión, respondidas, prioridad y tiempo promedio; permite acceder al detalle.</t>
  </si>
  <si>
    <t>HU-37</t>
  </si>
  <si>
    <t>Dashboard abogado</t>
  </si>
  <si>
    <t>Como abogado quiero un dashboard de consultas asignadas para gestionar mi carga de atención.</t>
  </si>
  <si>
    <t>Muestra consultas asignadas, en revisión, respondidas, prioridad y tiempos de atención; permite ordenar y filtrar.</t>
  </si>
  <si>
    <t>HU-38</t>
  </si>
  <si>
    <t>Dashboard administrador</t>
  </si>
  <si>
    <t>Como administrador quiero ver indicadores generales del MVP para monitorear consultas, usuarios, tiempos y resultados ML.</t>
  </si>
  <si>
    <t>Muestra número de consultas, estados, tiempos promedio, matching, usuarios activos y métricas básicas; usa datos simulados.</t>
  </si>
  <si>
    <t>HU-39</t>
  </si>
  <si>
    <t>Generar reporte básico de consulta</t>
  </si>
  <si>
    <t>Reportes</t>
  </si>
  <si>
    <t>Como usuario autorizado quiero generar un reporte básico de la consulta para contar con soporte ordenado del asesoramiento.</t>
  </si>
  <si>
    <t>Incluye datos de consulta, contexto simulado, clasificación, prioridad, abogado asignado, documentos, respuestas y trazabilidad; permite vista/descarga.</t>
  </si>
  <si>
    <t>HU-40</t>
  </si>
  <si>
    <t>Control de acceso a documentos</t>
  </si>
  <si>
    <t>Seguridad</t>
  </si>
  <si>
    <t>Como sistema quiero controlar quién accede a cada documento para proteger la información de soporte.</t>
  </si>
  <si>
    <t>Solo médico creador, abogado asignado y administrador autorizado pueden consultar documentos; registra accesos; bloquea usuarios no autorizados.</t>
  </si>
  <si>
    <t>HU-41</t>
  </si>
  <si>
    <t>Validación de archivos adjuntos</t>
  </si>
  <si>
    <t>Como sistema quiero validar archivos adjuntos para reducir riesgos de seguridad y errores.</t>
  </si>
  <si>
    <t>Valida tipo, tamaño y nombre de archivo; rechaza formatos no permitidos; muestra error claro; registra intento fallido.</t>
  </si>
  <si>
    <t>HU-42</t>
  </si>
  <si>
    <t>Bitácora de auditoría del sistema</t>
  </si>
  <si>
    <t>Reyes Renato/Vasquez Mathias</t>
  </si>
  <si>
    <t>Como administrador quiero consultar la bitácora de auditoría para revisar acciones críticas del sistema.</t>
  </si>
  <si>
    <t>Muestra usuario, acción, módulo, fecha/hora, consulta asociada y resultado; permite filtro por usuario, fecha y tipo de acción.</t>
  </si>
  <si>
    <t>HU-43</t>
  </si>
  <si>
    <t>Mensajes de advertencia sobre rol de la IA</t>
  </si>
  <si>
    <t>Ética y seguridad IA</t>
  </si>
  <si>
    <t>Como sistema quiero mostrar advertencias claras para que las recomendaciones ML se entiendan como apoyo y no como decisión definitiva.</t>
  </si>
  <si>
    <t>Las vistas ML incluyen mensaje de apoyo; evita lenguaje determinista; indica revisión humana por abogado; aparece en reporte.</t>
  </si>
  <si>
    <t>HU-44</t>
  </si>
  <si>
    <t>Manual de usuario por rol</t>
  </si>
  <si>
    <t>Equipo</t>
  </si>
  <si>
    <t>Documentación</t>
  </si>
  <si>
    <t>OE4</t>
  </si>
  <si>
    <t>Como usuario quiero contar con una guía funcional para usar la plataforma según mi rol.</t>
  </si>
  <si>
    <t>Incluye guía para médico, abogado y administrador; explica login, consulta, respuesta, documentos, dashboard y reportes.</t>
  </si>
  <si>
    <t>RESUMEN DEL PRODUCT BACKLOG MVP</t>
  </si>
  <si>
    <t>Total historias</t>
  </si>
  <si>
    <t>Must</t>
  </si>
  <si>
    <t>Should</t>
  </si>
  <si>
    <t>Enfoque</t>
  </si>
  <si>
    <t>Historias</t>
  </si>
  <si>
    <t>Base del sistema, autenticación, perfiles, BD y arquitectura inicial</t>
  </si>
  <si>
    <t>Consulta médico-legal, interacción médico-abogado, documentos y trazabilidad inicial</t>
  </si>
  <si>
    <t>Machine Learning, matching, dashboards, reportes y seguridad</t>
  </si>
  <si>
    <t>Integración, QA, despliegue, validación y documentación final</t>
  </si>
  <si>
    <t>Componente del MVP</t>
  </si>
  <si>
    <t>Cobertura en backlog</t>
  </si>
  <si>
    <t>Historias clave</t>
  </si>
  <si>
    <t>Registro, autenticación y roles</t>
  </si>
  <si>
    <t>Cubierto</t>
  </si>
  <si>
    <t>HU-01 a HU-05, HU-11, HU-14</t>
  </si>
  <si>
    <t>Perfiles médico, abogado y administrador</t>
  </si>
  <si>
    <t>HU-06 a HU-08</t>
  </si>
  <si>
    <t>Gestión de consultas médico-legales</t>
  </si>
  <si>
    <t>HU-17 a HU-28, HU-33</t>
  </si>
  <si>
    <t>Datos de contexto simulados</t>
  </si>
  <si>
    <t>HU-18, HU-31</t>
  </si>
  <si>
    <t>HU-29, HU-30, HU-47, HU-48</t>
  </si>
  <si>
    <t>HU-14, HU-22, HU-32, HU-49</t>
  </si>
  <si>
    <t>Clasificación y priorización ML</t>
  </si>
  <si>
    <t>HU-34, HU-35, HU-40, HU-41</t>
  </si>
  <si>
    <t>Matching médico-abogado</t>
  </si>
  <si>
    <t>HU-36 a HU-39, HU-60</t>
  </si>
  <si>
    <t>Reportes y dashboards</t>
  </si>
  <si>
    <t>HU-42 a HU-46</t>
  </si>
  <si>
    <t>Seguridad básica</t>
  </si>
  <si>
    <t>HU-05, HU-47, HU-48, HU-55</t>
  </si>
  <si>
    <t>Despliegue académico</t>
  </si>
  <si>
    <t>HU-62</t>
  </si>
  <si>
    <t>Validación académica</t>
  </si>
  <si>
    <t>HU-52 a HU-61, HU-65</t>
  </si>
  <si>
    <t>Documentación y manuales</t>
  </si>
  <si>
    <t>HU-63, HU-64</t>
  </si>
  <si>
    <t>Nota de alcance: El backlog evita funcionalidades fuera del MVP, como integración con historias clínicas reales, ERP hospitalarios, uso de datos personales identificables, automatización de litigios, representación legal o despliegue productivo institucional.</t>
  </si>
  <si>
    <t>Prioridad</t>
  </si>
  <si>
    <t>Frontend</t>
  </si>
  <si>
    <t>En proceso</t>
  </si>
  <si>
    <t>Backend</t>
  </si>
  <si>
    <t>Implementado</t>
  </si>
  <si>
    <t>Could</t>
  </si>
  <si>
    <t>Frontend/Backend</t>
  </si>
  <si>
    <t>Validado</t>
  </si>
  <si>
    <t>Backend/BD</t>
  </si>
  <si>
    <t>ML/Backend</t>
  </si>
  <si>
    <t>Evaluador</t>
  </si>
  <si>
    <t>QA</t>
  </si>
  <si>
    <t>DevOps</t>
  </si>
  <si>
    <t>QA/Evaluador</t>
  </si>
  <si>
    <t>Equipo/DevOps</t>
  </si>
  <si>
    <t>Full Stack</t>
  </si>
  <si>
    <t>Administrador/Evaluador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</si>
</sst>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0"/>
      <name val="Carlito"/>
    </font>
    <font>
      <b/>
      <sz val="11"/>
      <name val="Carlito"/>
    </font>
    <font>
      <b/>
      <sz val="11"/>
      <color rgb="FF78350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334155"/>
      </patternFill>
    </fill>
    <fill>
      <patternFill patternType="solid">
        <fgColor rgb="FFDBEAFE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2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5" fillId="6" borderId="0" xfId="0" applyFont="1" applyFill="1" applyAlignment="1">
      <alignment wrapText="1"/>
    </xf>
    <xf numFmtId="0" fontId="0" fillId="0" borderId="0" xfId="0" applyAlignment="1"/>
  </cellXfs>
  <cellStyles count="1">
    <cellStyle name="Normal" xfId="0" builtinId="0"/>
  </cellStyles>
  <dxfs count="7">
    <dxf>
      <font>
        <color rgb="FF166534"/>
      </font>
      <fill>
        <patternFill patternType="solid">
          <bgColor rgb="FFDCFCE7"/>
        </patternFill>
      </fill>
    </dxf>
    <dxf>
      <font>
        <color rgb="FF3730A3"/>
      </font>
      <fill>
        <patternFill patternType="solid">
          <bgColor rgb="FFE0E7FF"/>
        </patternFill>
      </fill>
    </dxf>
    <dxf>
      <font>
        <color rgb="FF1D4ED8"/>
      </font>
      <fill>
        <patternFill patternType="solid">
          <bgColor rgb="FFDBEAFE"/>
        </patternFill>
      </fill>
    </dxf>
    <dxf>
      <font>
        <color rgb="FF334155"/>
      </font>
      <fill>
        <patternFill patternType="solid">
          <bgColor rgb="FFF8FAFC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BacklogTable" displayName="ProductBacklogTable" ref="A2:L46">
  <tableColumns count="12">
    <tableColumn id="1" xr3:uid="{00000000-0010-0000-0000-000001000000}" name="Código"/>
    <tableColumn id="2" xr3:uid="{00000000-0010-0000-0000-000002000000}" name="Título"/>
    <tableColumn id="3" xr3:uid="{00000000-0010-0000-0000-000003000000}" name="Usuario involucrado"/>
    <tableColumn id="4" xr3:uid="{00000000-0010-0000-0000-000004000000}" name="Sprint"/>
    <tableColumn id="5" xr3:uid="{00000000-0010-0000-0000-000005000000}" name="Módulo MVP"/>
    <tableColumn id="6" xr3:uid="{00000000-0010-0000-0000-000006000000}" name="Objetivo asociado"/>
    <tableColumn id="8" xr3:uid="{00000000-0010-0000-0000-000008000000}" name="Prioridad MVP"/>
    <tableColumn id="9" xr3:uid="{00000000-0010-0000-0000-000009000000}" name="Story Points"/>
    <tableColumn id="10" xr3:uid="{00000000-0010-0000-0000-00000A000000}" name="Responsable"/>
    <tableColumn id="12" xr3:uid="{00000000-0010-0000-0000-00000C000000}" name="Descripción"/>
    <tableColumn id="13" xr3:uid="{00000000-0010-0000-0000-00000D000000}" name="Criterios de aceptación"/>
    <tableColumn id="14" xr3:uid="{00000000-0010-0000-0000-00000E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Sprints" displayName="ResumenSprints" ref="A5:E9">
  <tableColumns count="5">
    <tableColumn id="1" xr3:uid="{00000000-0010-0000-0100-000001000000}" name="Sprint"/>
    <tableColumn id="2" xr3:uid="{00000000-0010-0000-0100-000002000000}" name="Enfoque"/>
    <tableColumn id="3" xr3:uid="{00000000-0010-0000-0100-000003000000}" name="Historias"/>
    <tableColumn id="4" xr3:uid="{00000000-0010-0000-0100-000004000000}" name="Must"/>
    <tableColumn id="5" xr3:uid="{00000000-0010-0000-0100-000005000000}" name="Story Poi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berturaMVP" displayName="CoberturaMVP" ref="A12:C25">
  <tableColumns count="3">
    <tableColumn id="1" xr3:uid="{00000000-0010-0000-0200-000001000000}" name="Componente del MVP"/>
    <tableColumn id="2" xr3:uid="{00000000-0010-0000-0200-000002000000}" name="Cobertura en backlog"/>
    <tableColumn id="3" xr3:uid="{00000000-0010-0000-0200-000003000000}" name="Historias cla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topLeftCell="A43" workbookViewId="0">
      <selection activeCell="A3" sqref="A3:A46"/>
    </sheetView>
  </sheetViews>
  <sheetFormatPr defaultRowHeight="14.25"/>
  <cols>
    <col min="1" max="1" width="10" customWidth="1"/>
    <col min="2" max="2" width="28" customWidth="1"/>
    <col min="3" max="3" width="18" customWidth="1"/>
    <col min="4" max="4" width="8" customWidth="1"/>
    <col min="5" max="5" width="24" customWidth="1"/>
    <col min="6" max="6" width="14" customWidth="1"/>
    <col min="7" max="7" width="12" customWidth="1"/>
    <col min="8" max="8" width="10" customWidth="1"/>
    <col min="9" max="9" width="18" customWidth="1"/>
    <col min="10" max="10" width="44" customWidth="1"/>
    <col min="11" max="11" width="52" customWidth="1"/>
    <col min="12" max="12" width="14" customWidth="1"/>
  </cols>
  <sheetData>
    <row r="1" spans="1:12" ht="32.1" customHeight="1">
      <c r="A1" s="7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72" customHeight="1">
      <c r="A3" s="3" t="s">
        <v>13</v>
      </c>
      <c r="B3" s="3" t="s">
        <v>14</v>
      </c>
      <c r="C3" s="3" t="s">
        <v>15</v>
      </c>
      <c r="D3" s="3">
        <v>1</v>
      </c>
      <c r="E3" s="3" t="s">
        <v>16</v>
      </c>
      <c r="F3" s="3" t="s">
        <v>17</v>
      </c>
      <c r="G3" s="3" t="s">
        <v>18</v>
      </c>
      <c r="H3" s="3">
        <v>3</v>
      </c>
      <c r="I3" s="3" t="s">
        <v>19</v>
      </c>
      <c r="J3" s="3" t="s">
        <v>20</v>
      </c>
      <c r="K3" s="3" t="s">
        <v>21</v>
      </c>
      <c r="L3" s="3" t="s">
        <v>22</v>
      </c>
    </row>
    <row r="4" spans="1:12" ht="72" customHeight="1">
      <c r="A4" s="3" t="s">
        <v>23</v>
      </c>
      <c r="B4" s="3" t="s">
        <v>24</v>
      </c>
      <c r="C4" s="3" t="s">
        <v>15</v>
      </c>
      <c r="D4" s="3">
        <v>1</v>
      </c>
      <c r="E4" s="3" t="s">
        <v>16</v>
      </c>
      <c r="F4" s="3" t="s">
        <v>17</v>
      </c>
      <c r="G4" s="3" t="s">
        <v>18</v>
      </c>
      <c r="H4" s="3">
        <v>3</v>
      </c>
      <c r="I4" s="3" t="s">
        <v>19</v>
      </c>
      <c r="J4" s="3" t="s">
        <v>25</v>
      </c>
      <c r="K4" s="3" t="s">
        <v>26</v>
      </c>
      <c r="L4" s="3" t="s">
        <v>22</v>
      </c>
    </row>
    <row r="5" spans="1:12" ht="72" customHeight="1">
      <c r="A5" s="3" t="s">
        <v>27</v>
      </c>
      <c r="B5" s="3" t="s">
        <v>28</v>
      </c>
      <c r="C5" s="3" t="s">
        <v>15</v>
      </c>
      <c r="D5" s="3">
        <v>1</v>
      </c>
      <c r="E5" s="3" t="s">
        <v>16</v>
      </c>
      <c r="F5" s="3" t="s">
        <v>17</v>
      </c>
      <c r="G5" s="3" t="s">
        <v>18</v>
      </c>
      <c r="H5" s="3">
        <v>2</v>
      </c>
      <c r="I5" s="3" t="s">
        <v>19</v>
      </c>
      <c r="J5" s="3" t="s">
        <v>29</v>
      </c>
      <c r="K5" s="3" t="s">
        <v>30</v>
      </c>
      <c r="L5" s="3" t="s">
        <v>22</v>
      </c>
    </row>
    <row r="6" spans="1:12" ht="72" customHeight="1">
      <c r="A6" s="3" t="s">
        <v>31</v>
      </c>
      <c r="B6" s="3" t="s">
        <v>32</v>
      </c>
      <c r="C6" s="3" t="s">
        <v>15</v>
      </c>
      <c r="D6" s="3">
        <v>1</v>
      </c>
      <c r="E6" s="3" t="s">
        <v>16</v>
      </c>
      <c r="F6" s="3" t="s">
        <v>17</v>
      </c>
      <c r="G6" s="3" t="s">
        <v>33</v>
      </c>
      <c r="H6" s="3">
        <v>3</v>
      </c>
      <c r="I6" s="3" t="s">
        <v>34</v>
      </c>
      <c r="J6" s="3" t="s">
        <v>35</v>
      </c>
      <c r="K6" s="3" t="s">
        <v>36</v>
      </c>
      <c r="L6" s="3" t="s">
        <v>22</v>
      </c>
    </row>
    <row r="7" spans="1:12" ht="72" customHeight="1">
      <c r="A7" s="3" t="s">
        <v>37</v>
      </c>
      <c r="B7" s="3" t="s">
        <v>38</v>
      </c>
      <c r="C7" s="3" t="s">
        <v>39</v>
      </c>
      <c r="D7" s="3">
        <v>1</v>
      </c>
      <c r="E7" s="3" t="s">
        <v>16</v>
      </c>
      <c r="F7" s="3" t="s">
        <v>17</v>
      </c>
      <c r="G7" s="3" t="s">
        <v>18</v>
      </c>
      <c r="H7" s="3">
        <v>5</v>
      </c>
      <c r="I7" s="3" t="s">
        <v>19</v>
      </c>
      <c r="J7" s="3" t="s">
        <v>40</v>
      </c>
      <c r="K7" s="3" t="s">
        <v>41</v>
      </c>
      <c r="L7" s="3" t="s">
        <v>22</v>
      </c>
    </row>
    <row r="8" spans="1:12" ht="72" customHeight="1">
      <c r="A8" s="3" t="s">
        <v>42</v>
      </c>
      <c r="B8" s="3" t="s">
        <v>43</v>
      </c>
      <c r="C8" s="3" t="s">
        <v>44</v>
      </c>
      <c r="D8" s="3">
        <v>1</v>
      </c>
      <c r="E8" s="3" t="s">
        <v>45</v>
      </c>
      <c r="F8" s="3" t="s">
        <v>17</v>
      </c>
      <c r="G8" s="3" t="s">
        <v>18</v>
      </c>
      <c r="H8" s="3">
        <v>3</v>
      </c>
      <c r="I8" s="3" t="s">
        <v>19</v>
      </c>
      <c r="J8" s="3" t="s">
        <v>46</v>
      </c>
      <c r="K8" s="3" t="s">
        <v>47</v>
      </c>
      <c r="L8" s="3" t="s">
        <v>22</v>
      </c>
    </row>
    <row r="9" spans="1:12" ht="72" customHeight="1">
      <c r="A9" s="3" t="s">
        <v>48</v>
      </c>
      <c r="B9" s="3" t="s">
        <v>49</v>
      </c>
      <c r="C9" s="3" t="s">
        <v>50</v>
      </c>
      <c r="D9" s="3">
        <v>1</v>
      </c>
      <c r="E9" s="3" t="s">
        <v>45</v>
      </c>
      <c r="F9" s="3" t="s">
        <v>17</v>
      </c>
      <c r="G9" s="3" t="s">
        <v>18</v>
      </c>
      <c r="H9" s="3">
        <v>3</v>
      </c>
      <c r="I9" s="3" t="s">
        <v>19</v>
      </c>
      <c r="J9" s="3" t="s">
        <v>51</v>
      </c>
      <c r="K9" s="3" t="s">
        <v>52</v>
      </c>
      <c r="L9" s="3" t="s">
        <v>22</v>
      </c>
    </row>
    <row r="10" spans="1:12" ht="72" customHeight="1">
      <c r="A10" s="3" t="s">
        <v>53</v>
      </c>
      <c r="B10" s="3" t="s">
        <v>54</v>
      </c>
      <c r="C10" s="3" t="s">
        <v>55</v>
      </c>
      <c r="D10" s="3">
        <v>1</v>
      </c>
      <c r="E10" s="3" t="s">
        <v>45</v>
      </c>
      <c r="F10" s="3" t="s">
        <v>17</v>
      </c>
      <c r="G10" s="3" t="s">
        <v>33</v>
      </c>
      <c r="H10" s="3">
        <v>2</v>
      </c>
      <c r="I10" s="3" t="s">
        <v>19</v>
      </c>
      <c r="J10" s="3" t="s">
        <v>56</v>
      </c>
      <c r="K10" s="3" t="s">
        <v>57</v>
      </c>
      <c r="L10" s="3" t="s">
        <v>22</v>
      </c>
    </row>
    <row r="11" spans="1:12" ht="72" customHeight="1">
      <c r="A11" s="3" t="s">
        <v>58</v>
      </c>
      <c r="B11" s="3" t="s">
        <v>59</v>
      </c>
      <c r="C11" s="3" t="s">
        <v>15</v>
      </c>
      <c r="D11" s="3">
        <v>1</v>
      </c>
      <c r="E11" s="3" t="s">
        <v>60</v>
      </c>
      <c r="F11" s="3" t="s">
        <v>61</v>
      </c>
      <c r="G11" s="3" t="s">
        <v>18</v>
      </c>
      <c r="H11" s="3">
        <v>3</v>
      </c>
      <c r="I11" s="3" t="s">
        <v>62</v>
      </c>
      <c r="J11" s="3" t="s">
        <v>63</v>
      </c>
      <c r="K11" s="3" t="s">
        <v>64</v>
      </c>
      <c r="L11" s="3" t="s">
        <v>22</v>
      </c>
    </row>
    <row r="12" spans="1:12" ht="72" customHeight="1">
      <c r="A12" s="3" t="s">
        <v>65</v>
      </c>
      <c r="B12" s="3" t="s">
        <v>66</v>
      </c>
      <c r="C12" s="3" t="s">
        <v>39</v>
      </c>
      <c r="D12" s="3">
        <v>1</v>
      </c>
      <c r="E12" s="3" t="s">
        <v>67</v>
      </c>
      <c r="F12" s="3" t="s">
        <v>17</v>
      </c>
      <c r="G12" s="3" t="s">
        <v>33</v>
      </c>
      <c r="H12" s="3">
        <v>3</v>
      </c>
      <c r="I12" s="3" t="s">
        <v>34</v>
      </c>
      <c r="J12" s="3" t="s">
        <v>68</v>
      </c>
      <c r="K12" s="3" t="s">
        <v>69</v>
      </c>
      <c r="L12" s="3" t="s">
        <v>22</v>
      </c>
    </row>
    <row r="13" spans="1:12" ht="72" customHeight="1">
      <c r="A13" s="3" t="s">
        <v>70</v>
      </c>
      <c r="B13" s="3" t="s">
        <v>71</v>
      </c>
      <c r="C13" s="3" t="s">
        <v>44</v>
      </c>
      <c r="D13" s="3">
        <v>2</v>
      </c>
      <c r="E13" s="3" t="s">
        <v>72</v>
      </c>
      <c r="F13" s="3" t="s">
        <v>17</v>
      </c>
      <c r="G13" s="3" t="s">
        <v>18</v>
      </c>
      <c r="H13" s="3">
        <v>8</v>
      </c>
      <c r="I13" s="3" t="s">
        <v>19</v>
      </c>
      <c r="J13" s="3" t="s">
        <v>73</v>
      </c>
      <c r="K13" s="3" t="s">
        <v>74</v>
      </c>
      <c r="L13" s="3" t="s">
        <v>22</v>
      </c>
    </row>
    <row r="14" spans="1:12" ht="72" customHeight="1">
      <c r="A14" s="3" t="s">
        <v>75</v>
      </c>
      <c r="B14" s="3" t="s">
        <v>76</v>
      </c>
      <c r="C14" s="3" t="s">
        <v>44</v>
      </c>
      <c r="D14" s="3">
        <v>2</v>
      </c>
      <c r="E14" s="3" t="s">
        <v>72</v>
      </c>
      <c r="F14" s="3" t="s">
        <v>17</v>
      </c>
      <c r="G14" s="3" t="s">
        <v>18</v>
      </c>
      <c r="H14" s="3">
        <v>5</v>
      </c>
      <c r="I14" s="3" t="s">
        <v>19</v>
      </c>
      <c r="J14" s="3" t="s">
        <v>77</v>
      </c>
      <c r="K14" s="3" t="s">
        <v>78</v>
      </c>
      <c r="L14" s="3" t="s">
        <v>22</v>
      </c>
    </row>
    <row r="15" spans="1:12" ht="72" customHeight="1">
      <c r="A15" s="3" t="s">
        <v>79</v>
      </c>
      <c r="B15" s="3" t="s">
        <v>80</v>
      </c>
      <c r="C15" s="3" t="s">
        <v>44</v>
      </c>
      <c r="D15" s="3">
        <v>2</v>
      </c>
      <c r="E15" s="3" t="s">
        <v>72</v>
      </c>
      <c r="F15" s="3" t="s">
        <v>17</v>
      </c>
      <c r="G15" s="3" t="s">
        <v>18</v>
      </c>
      <c r="H15" s="3">
        <v>3</v>
      </c>
      <c r="I15" s="3" t="s">
        <v>19</v>
      </c>
      <c r="J15" s="3" t="s">
        <v>81</v>
      </c>
      <c r="K15" s="3" t="s">
        <v>82</v>
      </c>
      <c r="L15" s="3" t="s">
        <v>22</v>
      </c>
    </row>
    <row r="16" spans="1:12" ht="72" customHeight="1">
      <c r="A16" s="3" t="s">
        <v>83</v>
      </c>
      <c r="B16" s="3" t="s">
        <v>84</v>
      </c>
      <c r="C16" s="3" t="s">
        <v>85</v>
      </c>
      <c r="D16" s="3">
        <v>2</v>
      </c>
      <c r="E16" s="3" t="s">
        <v>72</v>
      </c>
      <c r="F16" s="3" t="s">
        <v>17</v>
      </c>
      <c r="G16" s="3" t="s">
        <v>18</v>
      </c>
      <c r="H16" s="3">
        <v>5</v>
      </c>
      <c r="I16" s="3" t="s">
        <v>19</v>
      </c>
      <c r="J16" s="3" t="s">
        <v>86</v>
      </c>
      <c r="K16" s="3" t="s">
        <v>87</v>
      </c>
      <c r="L16" s="3" t="s">
        <v>22</v>
      </c>
    </row>
    <row r="17" spans="1:12" ht="72" customHeight="1">
      <c r="A17" s="3" t="s">
        <v>88</v>
      </c>
      <c r="B17" s="3" t="s">
        <v>89</v>
      </c>
      <c r="C17" s="3" t="s">
        <v>44</v>
      </c>
      <c r="D17" s="3">
        <v>2</v>
      </c>
      <c r="E17" s="3" t="s">
        <v>72</v>
      </c>
      <c r="F17" s="3" t="s">
        <v>17</v>
      </c>
      <c r="G17" s="3" t="s">
        <v>33</v>
      </c>
      <c r="H17" s="3">
        <v>3</v>
      </c>
      <c r="I17" s="3" t="s">
        <v>19</v>
      </c>
      <c r="J17" s="3" t="s">
        <v>90</v>
      </c>
      <c r="K17" s="3" t="s">
        <v>91</v>
      </c>
      <c r="L17" s="3" t="s">
        <v>22</v>
      </c>
    </row>
    <row r="18" spans="1:12" ht="72" customHeight="1">
      <c r="A18" s="3" t="s">
        <v>92</v>
      </c>
      <c r="B18" s="3" t="s">
        <v>93</v>
      </c>
      <c r="C18" s="3" t="s">
        <v>94</v>
      </c>
      <c r="D18" s="3">
        <v>2</v>
      </c>
      <c r="E18" s="3" t="s">
        <v>72</v>
      </c>
      <c r="F18" s="3" t="s">
        <v>17</v>
      </c>
      <c r="G18" s="3" t="s">
        <v>18</v>
      </c>
      <c r="H18" s="3">
        <v>5</v>
      </c>
      <c r="I18" s="3" t="s">
        <v>34</v>
      </c>
      <c r="J18" s="3" t="s">
        <v>95</v>
      </c>
      <c r="K18" s="3" t="s">
        <v>96</v>
      </c>
      <c r="L18" s="3" t="s">
        <v>22</v>
      </c>
    </row>
    <row r="19" spans="1:12" ht="72" customHeight="1">
      <c r="A19" s="3" t="s">
        <v>97</v>
      </c>
      <c r="B19" s="3" t="s">
        <v>98</v>
      </c>
      <c r="C19" s="3" t="s">
        <v>50</v>
      </c>
      <c r="D19" s="3">
        <v>2</v>
      </c>
      <c r="E19" s="3" t="s">
        <v>72</v>
      </c>
      <c r="F19" s="3" t="s">
        <v>17</v>
      </c>
      <c r="G19" s="3" t="s">
        <v>18</v>
      </c>
      <c r="H19" s="3">
        <v>5</v>
      </c>
      <c r="I19" s="3" t="s">
        <v>19</v>
      </c>
      <c r="J19" s="3" t="s">
        <v>99</v>
      </c>
      <c r="K19" s="3" t="s">
        <v>100</v>
      </c>
      <c r="L19" s="3" t="s">
        <v>22</v>
      </c>
    </row>
    <row r="20" spans="1:12" ht="72" customHeight="1">
      <c r="A20" s="3" t="s">
        <v>101</v>
      </c>
      <c r="B20" s="3" t="s">
        <v>102</v>
      </c>
      <c r="C20" s="3" t="s">
        <v>50</v>
      </c>
      <c r="D20" s="3">
        <v>2</v>
      </c>
      <c r="E20" s="3" t="s">
        <v>103</v>
      </c>
      <c r="F20" s="3" t="s">
        <v>17</v>
      </c>
      <c r="G20" s="3" t="s">
        <v>18</v>
      </c>
      <c r="H20" s="3">
        <v>5</v>
      </c>
      <c r="I20" s="3" t="s">
        <v>19</v>
      </c>
      <c r="J20" s="3" t="s">
        <v>104</v>
      </c>
      <c r="K20" s="3" t="s">
        <v>105</v>
      </c>
      <c r="L20" s="3" t="s">
        <v>22</v>
      </c>
    </row>
    <row r="21" spans="1:12" ht="72" customHeight="1">
      <c r="A21" s="3" t="s">
        <v>106</v>
      </c>
      <c r="B21" s="3" t="s">
        <v>107</v>
      </c>
      <c r="C21" s="3" t="s">
        <v>108</v>
      </c>
      <c r="D21" s="3">
        <v>2</v>
      </c>
      <c r="E21" s="3" t="s">
        <v>103</v>
      </c>
      <c r="F21" s="3" t="s">
        <v>17</v>
      </c>
      <c r="G21" s="3" t="s">
        <v>18</v>
      </c>
      <c r="H21" s="3">
        <v>5</v>
      </c>
      <c r="I21" s="3" t="s">
        <v>19</v>
      </c>
      <c r="J21" s="3" t="s">
        <v>109</v>
      </c>
      <c r="K21" s="3" t="s">
        <v>110</v>
      </c>
      <c r="L21" s="3" t="s">
        <v>22</v>
      </c>
    </row>
    <row r="22" spans="1:12" ht="72" customHeight="1">
      <c r="A22" s="3" t="s">
        <v>111</v>
      </c>
      <c r="B22" s="3" t="s">
        <v>112</v>
      </c>
      <c r="C22" s="3" t="s">
        <v>108</v>
      </c>
      <c r="D22" s="3">
        <v>2</v>
      </c>
      <c r="E22" s="3" t="s">
        <v>103</v>
      </c>
      <c r="F22" s="3" t="s">
        <v>17</v>
      </c>
      <c r="G22" s="3" t="s">
        <v>18</v>
      </c>
      <c r="H22" s="3">
        <v>5</v>
      </c>
      <c r="I22" s="3" t="s">
        <v>19</v>
      </c>
      <c r="J22" s="3" t="s">
        <v>113</v>
      </c>
      <c r="K22" s="3" t="s">
        <v>114</v>
      </c>
      <c r="L22" s="3" t="s">
        <v>22</v>
      </c>
    </row>
    <row r="23" spans="1:12" ht="72" customHeight="1">
      <c r="A23" s="3" t="s">
        <v>115</v>
      </c>
      <c r="B23" s="3" t="s">
        <v>116</v>
      </c>
      <c r="C23" s="3" t="s">
        <v>50</v>
      </c>
      <c r="D23" s="3">
        <v>2</v>
      </c>
      <c r="E23" s="3" t="s">
        <v>117</v>
      </c>
      <c r="F23" s="3" t="s">
        <v>17</v>
      </c>
      <c r="G23" s="3" t="s">
        <v>18</v>
      </c>
      <c r="H23" s="3">
        <v>8</v>
      </c>
      <c r="I23" s="3" t="s">
        <v>19</v>
      </c>
      <c r="J23" s="3" t="s">
        <v>118</v>
      </c>
      <c r="K23" s="3" t="s">
        <v>119</v>
      </c>
      <c r="L23" s="3" t="s">
        <v>22</v>
      </c>
    </row>
    <row r="24" spans="1:12" ht="72" customHeight="1">
      <c r="A24" s="3" t="s">
        <v>120</v>
      </c>
      <c r="B24" s="3" t="s">
        <v>121</v>
      </c>
      <c r="C24" s="3" t="s">
        <v>44</v>
      </c>
      <c r="D24" s="3">
        <v>2</v>
      </c>
      <c r="E24" s="3" t="s">
        <v>117</v>
      </c>
      <c r="F24" s="3" t="s">
        <v>17</v>
      </c>
      <c r="G24" s="3" t="s">
        <v>18</v>
      </c>
      <c r="H24" s="3">
        <v>5</v>
      </c>
      <c r="I24" s="3" t="s">
        <v>19</v>
      </c>
      <c r="J24" s="3" t="s">
        <v>122</v>
      </c>
      <c r="K24" s="3" t="s">
        <v>123</v>
      </c>
      <c r="L24" s="3" t="s">
        <v>22</v>
      </c>
    </row>
    <row r="25" spans="1:12" ht="72" customHeight="1">
      <c r="A25" s="3" t="s">
        <v>124</v>
      </c>
      <c r="B25" s="3" t="s">
        <v>125</v>
      </c>
      <c r="C25" s="3" t="s">
        <v>85</v>
      </c>
      <c r="D25" s="3">
        <v>2</v>
      </c>
      <c r="E25" s="3" t="s">
        <v>72</v>
      </c>
      <c r="F25" s="3" t="s">
        <v>17</v>
      </c>
      <c r="G25" s="3" t="s">
        <v>33</v>
      </c>
      <c r="H25" s="3">
        <v>3</v>
      </c>
      <c r="I25" s="3" t="s">
        <v>19</v>
      </c>
      <c r="J25" s="3" t="s">
        <v>126</v>
      </c>
      <c r="K25" s="3" t="s">
        <v>127</v>
      </c>
      <c r="L25" s="3" t="s">
        <v>22</v>
      </c>
    </row>
    <row r="26" spans="1:12" ht="72" customHeight="1">
      <c r="A26" s="3" t="s">
        <v>128</v>
      </c>
      <c r="B26" s="3" t="s">
        <v>129</v>
      </c>
      <c r="C26" s="3" t="s">
        <v>44</v>
      </c>
      <c r="D26" s="3">
        <v>2</v>
      </c>
      <c r="E26" s="3" t="s">
        <v>130</v>
      </c>
      <c r="F26" s="3" t="s">
        <v>17</v>
      </c>
      <c r="G26" s="3" t="s">
        <v>18</v>
      </c>
      <c r="H26" s="3">
        <v>5</v>
      </c>
      <c r="I26" s="3" t="s">
        <v>19</v>
      </c>
      <c r="J26" s="3" t="s">
        <v>131</v>
      </c>
      <c r="K26" s="3" t="s">
        <v>132</v>
      </c>
      <c r="L26" s="3" t="s">
        <v>22</v>
      </c>
    </row>
    <row r="27" spans="1:12" ht="72" customHeight="1">
      <c r="A27" s="3" t="s">
        <v>133</v>
      </c>
      <c r="B27" s="3" t="s">
        <v>134</v>
      </c>
      <c r="C27" s="3" t="s">
        <v>85</v>
      </c>
      <c r="D27" s="3">
        <v>2</v>
      </c>
      <c r="E27" s="3" t="s">
        <v>130</v>
      </c>
      <c r="F27" s="3" t="s">
        <v>17</v>
      </c>
      <c r="G27" s="3" t="s">
        <v>18</v>
      </c>
      <c r="H27" s="3">
        <v>5</v>
      </c>
      <c r="I27" s="3" t="s">
        <v>19</v>
      </c>
      <c r="J27" s="3" t="s">
        <v>135</v>
      </c>
      <c r="K27" s="3" t="s">
        <v>136</v>
      </c>
      <c r="L27" s="3" t="s">
        <v>22</v>
      </c>
    </row>
    <row r="28" spans="1:12" ht="72" customHeight="1">
      <c r="A28" s="3" t="s">
        <v>137</v>
      </c>
      <c r="B28" s="3" t="s">
        <v>138</v>
      </c>
      <c r="C28" s="3" t="s">
        <v>44</v>
      </c>
      <c r="D28" s="3">
        <v>2</v>
      </c>
      <c r="E28" s="3" t="s">
        <v>139</v>
      </c>
      <c r="F28" s="3" t="s">
        <v>17</v>
      </c>
      <c r="G28" s="3" t="s">
        <v>33</v>
      </c>
      <c r="H28" s="3">
        <v>5</v>
      </c>
      <c r="I28" s="3" t="s">
        <v>19</v>
      </c>
      <c r="J28" s="3" t="s">
        <v>140</v>
      </c>
      <c r="K28" s="3" t="s">
        <v>141</v>
      </c>
      <c r="L28" s="3" t="s">
        <v>22</v>
      </c>
    </row>
    <row r="29" spans="1:12" ht="72" customHeight="1">
      <c r="A29" s="3" t="s">
        <v>142</v>
      </c>
      <c r="B29" s="3" t="s">
        <v>143</v>
      </c>
      <c r="C29" s="3" t="s">
        <v>85</v>
      </c>
      <c r="D29" s="3">
        <v>2</v>
      </c>
      <c r="E29" s="3" t="s">
        <v>67</v>
      </c>
      <c r="F29" s="3" t="s">
        <v>17</v>
      </c>
      <c r="G29" s="3" t="s">
        <v>18</v>
      </c>
      <c r="H29" s="3">
        <v>5</v>
      </c>
      <c r="I29" s="3" t="s">
        <v>19</v>
      </c>
      <c r="J29" s="3" t="s">
        <v>144</v>
      </c>
      <c r="K29" s="3" t="s">
        <v>145</v>
      </c>
      <c r="L29" s="3" t="s">
        <v>22</v>
      </c>
    </row>
    <row r="30" spans="1:12" ht="72" customHeight="1">
      <c r="A30" s="3" t="s">
        <v>146</v>
      </c>
      <c r="B30" s="3" t="s">
        <v>147</v>
      </c>
      <c r="C30" s="3" t="s">
        <v>85</v>
      </c>
      <c r="D30" s="3">
        <v>2</v>
      </c>
      <c r="E30" s="3" t="s">
        <v>72</v>
      </c>
      <c r="F30" s="3" t="s">
        <v>17</v>
      </c>
      <c r="G30" s="3" t="s">
        <v>18</v>
      </c>
      <c r="H30" s="3">
        <v>3</v>
      </c>
      <c r="I30" s="3" t="s">
        <v>19</v>
      </c>
      <c r="J30" s="3" t="s">
        <v>148</v>
      </c>
      <c r="K30" s="3" t="s">
        <v>149</v>
      </c>
      <c r="L30" s="3" t="s">
        <v>22</v>
      </c>
    </row>
    <row r="31" spans="1:12" ht="72" customHeight="1">
      <c r="A31" s="3" t="s">
        <v>150</v>
      </c>
      <c r="B31" s="3" t="s">
        <v>151</v>
      </c>
      <c r="C31" s="3" t="s">
        <v>39</v>
      </c>
      <c r="D31" s="3">
        <v>3</v>
      </c>
      <c r="E31" s="3" t="s">
        <v>152</v>
      </c>
      <c r="F31" s="3" t="s">
        <v>17</v>
      </c>
      <c r="G31" s="3" t="s">
        <v>18</v>
      </c>
      <c r="H31" s="3">
        <v>8</v>
      </c>
      <c r="I31" s="3" t="s">
        <v>153</v>
      </c>
      <c r="J31" s="3" t="s">
        <v>154</v>
      </c>
      <c r="K31" s="3" t="s">
        <v>155</v>
      </c>
      <c r="L31" s="3" t="s">
        <v>22</v>
      </c>
    </row>
    <row r="32" spans="1:12" ht="72" customHeight="1">
      <c r="A32" s="3" t="s">
        <v>156</v>
      </c>
      <c r="B32" s="3" t="s">
        <v>157</v>
      </c>
      <c r="C32" s="3" t="s">
        <v>39</v>
      </c>
      <c r="D32" s="3">
        <v>3</v>
      </c>
      <c r="E32" s="3" t="s">
        <v>152</v>
      </c>
      <c r="F32" s="3" t="s">
        <v>17</v>
      </c>
      <c r="G32" s="3" t="s">
        <v>18</v>
      </c>
      <c r="H32" s="3">
        <v>5</v>
      </c>
      <c r="I32" s="3" t="s">
        <v>153</v>
      </c>
      <c r="J32" s="3" t="s">
        <v>158</v>
      </c>
      <c r="K32" s="3" t="s">
        <v>159</v>
      </c>
      <c r="L32" s="3" t="s">
        <v>22</v>
      </c>
    </row>
    <row r="33" spans="1:12" ht="72" customHeight="1">
      <c r="A33" s="3" t="s">
        <v>160</v>
      </c>
      <c r="B33" s="3" t="s">
        <v>161</v>
      </c>
      <c r="C33" s="3" t="s">
        <v>39</v>
      </c>
      <c r="D33" s="3">
        <v>3</v>
      </c>
      <c r="E33" s="3" t="s">
        <v>162</v>
      </c>
      <c r="F33" s="3" t="s">
        <v>17</v>
      </c>
      <c r="G33" s="3" t="s">
        <v>18</v>
      </c>
      <c r="H33" s="3">
        <v>8</v>
      </c>
      <c r="I33" s="3" t="s">
        <v>153</v>
      </c>
      <c r="J33" s="3" t="s">
        <v>163</v>
      </c>
      <c r="K33" s="3" t="s">
        <v>164</v>
      </c>
      <c r="L33" s="3" t="s">
        <v>22</v>
      </c>
    </row>
    <row r="34" spans="1:12" ht="72" customHeight="1">
      <c r="A34" s="3" t="s">
        <v>165</v>
      </c>
      <c r="B34" s="3" t="s">
        <v>166</v>
      </c>
      <c r="C34" s="3" t="s">
        <v>39</v>
      </c>
      <c r="D34" s="3">
        <v>3</v>
      </c>
      <c r="E34" s="3" t="s">
        <v>167</v>
      </c>
      <c r="F34" s="3" t="s">
        <v>168</v>
      </c>
      <c r="G34" s="3" t="s">
        <v>18</v>
      </c>
      <c r="H34" s="3">
        <v>5</v>
      </c>
      <c r="I34" s="3" t="s">
        <v>153</v>
      </c>
      <c r="J34" s="3" t="s">
        <v>169</v>
      </c>
      <c r="K34" s="3" t="s">
        <v>170</v>
      </c>
      <c r="L34" s="3" t="s">
        <v>22</v>
      </c>
    </row>
    <row r="35" spans="1:12" ht="72" customHeight="1">
      <c r="A35" s="3" t="s">
        <v>171</v>
      </c>
      <c r="B35" s="3" t="s">
        <v>172</v>
      </c>
      <c r="C35" s="3" t="s">
        <v>44</v>
      </c>
      <c r="D35" s="3">
        <v>3</v>
      </c>
      <c r="E35" s="3" t="s">
        <v>173</v>
      </c>
      <c r="F35" s="3" t="s">
        <v>17</v>
      </c>
      <c r="G35" s="3" t="s">
        <v>18</v>
      </c>
      <c r="H35" s="3">
        <v>5</v>
      </c>
      <c r="I35" s="3" t="s">
        <v>62</v>
      </c>
      <c r="J35" s="3" t="s">
        <v>174</v>
      </c>
      <c r="K35" s="3" t="s">
        <v>175</v>
      </c>
      <c r="L35" s="3" t="s">
        <v>22</v>
      </c>
    </row>
    <row r="36" spans="1:12" ht="72" customHeight="1">
      <c r="A36" s="3" t="s">
        <v>176</v>
      </c>
      <c r="B36" s="3" t="s">
        <v>177</v>
      </c>
      <c r="C36" s="3" t="s">
        <v>50</v>
      </c>
      <c r="D36" s="3">
        <v>3</v>
      </c>
      <c r="E36" s="3" t="s">
        <v>173</v>
      </c>
      <c r="F36" s="3" t="s">
        <v>17</v>
      </c>
      <c r="G36" s="3" t="s">
        <v>18</v>
      </c>
      <c r="H36" s="3">
        <v>5</v>
      </c>
      <c r="I36" s="3" t="s">
        <v>62</v>
      </c>
      <c r="J36" s="3" t="s">
        <v>178</v>
      </c>
      <c r="K36" s="3" t="s">
        <v>179</v>
      </c>
      <c r="L36" s="3" t="s">
        <v>22</v>
      </c>
    </row>
    <row r="37" spans="1:12" ht="72" customHeight="1">
      <c r="A37" s="3" t="s">
        <v>180</v>
      </c>
      <c r="B37" s="3" t="s">
        <v>181</v>
      </c>
      <c r="C37" s="3" t="s">
        <v>39</v>
      </c>
      <c r="D37" s="3">
        <v>3</v>
      </c>
      <c r="E37" s="3" t="s">
        <v>152</v>
      </c>
      <c r="F37" s="3" t="s">
        <v>168</v>
      </c>
      <c r="G37" s="3" t="s">
        <v>18</v>
      </c>
      <c r="H37" s="3">
        <v>5</v>
      </c>
      <c r="I37" s="3" t="s">
        <v>153</v>
      </c>
      <c r="J37" s="3" t="s">
        <v>182</v>
      </c>
      <c r="K37" s="3" t="s">
        <v>183</v>
      </c>
      <c r="L37" s="3" t="s">
        <v>22</v>
      </c>
    </row>
    <row r="38" spans="1:12" ht="72" customHeight="1">
      <c r="A38" s="3" t="s">
        <v>184</v>
      </c>
      <c r="B38" s="3" t="s">
        <v>185</v>
      </c>
      <c r="C38" s="3" t="s">
        <v>44</v>
      </c>
      <c r="D38" s="3">
        <v>3</v>
      </c>
      <c r="E38" s="3" t="s">
        <v>186</v>
      </c>
      <c r="F38" s="3" t="s">
        <v>17</v>
      </c>
      <c r="G38" s="3" t="s">
        <v>33</v>
      </c>
      <c r="H38" s="3">
        <v>5</v>
      </c>
      <c r="I38" s="3" t="s">
        <v>19</v>
      </c>
      <c r="J38" s="3" t="s">
        <v>187</v>
      </c>
      <c r="K38" s="3" t="s">
        <v>188</v>
      </c>
      <c r="L38" s="3" t="s">
        <v>22</v>
      </c>
    </row>
    <row r="39" spans="1:12" ht="72" customHeight="1">
      <c r="A39" s="3" t="s">
        <v>189</v>
      </c>
      <c r="B39" s="3" t="s">
        <v>190</v>
      </c>
      <c r="C39" s="3" t="s">
        <v>50</v>
      </c>
      <c r="D39" s="3">
        <v>3</v>
      </c>
      <c r="E39" s="3" t="s">
        <v>186</v>
      </c>
      <c r="F39" s="3" t="s">
        <v>17</v>
      </c>
      <c r="G39" s="3" t="s">
        <v>33</v>
      </c>
      <c r="H39" s="3">
        <v>5</v>
      </c>
      <c r="I39" s="3" t="s">
        <v>19</v>
      </c>
      <c r="J39" s="3" t="s">
        <v>191</v>
      </c>
      <c r="K39" s="3" t="s">
        <v>192</v>
      </c>
      <c r="L39" s="3" t="s">
        <v>22</v>
      </c>
    </row>
    <row r="40" spans="1:12" ht="72" customHeight="1">
      <c r="A40" s="3" t="s">
        <v>193</v>
      </c>
      <c r="B40" s="3" t="s">
        <v>194</v>
      </c>
      <c r="C40" s="3" t="s">
        <v>55</v>
      </c>
      <c r="D40" s="3">
        <v>3</v>
      </c>
      <c r="E40" s="3" t="s">
        <v>186</v>
      </c>
      <c r="F40" s="3" t="s">
        <v>168</v>
      </c>
      <c r="G40" s="3" t="s">
        <v>33</v>
      </c>
      <c r="H40" s="3">
        <v>5</v>
      </c>
      <c r="I40" s="3" t="s">
        <v>19</v>
      </c>
      <c r="J40" s="3" t="s">
        <v>195</v>
      </c>
      <c r="K40" s="3" t="s">
        <v>196</v>
      </c>
      <c r="L40" s="3" t="s">
        <v>22</v>
      </c>
    </row>
    <row r="41" spans="1:12" ht="72" customHeight="1">
      <c r="A41" s="3" t="s">
        <v>197</v>
      </c>
      <c r="B41" s="3" t="s">
        <v>198</v>
      </c>
      <c r="C41" s="3" t="s">
        <v>85</v>
      </c>
      <c r="D41" s="3">
        <v>3</v>
      </c>
      <c r="E41" s="3" t="s">
        <v>199</v>
      </c>
      <c r="F41" s="3" t="s">
        <v>17</v>
      </c>
      <c r="G41" s="3" t="s">
        <v>18</v>
      </c>
      <c r="H41" s="3">
        <v>5</v>
      </c>
      <c r="I41" s="3" t="s">
        <v>19</v>
      </c>
      <c r="J41" s="3" t="s">
        <v>200</v>
      </c>
      <c r="K41" s="3" t="s">
        <v>201</v>
      </c>
      <c r="L41" s="3" t="s">
        <v>22</v>
      </c>
    </row>
    <row r="42" spans="1:12" ht="72" customHeight="1">
      <c r="A42" s="3" t="s">
        <v>202</v>
      </c>
      <c r="B42" s="3" t="s">
        <v>203</v>
      </c>
      <c r="C42" s="3" t="s">
        <v>39</v>
      </c>
      <c r="D42" s="3">
        <v>3</v>
      </c>
      <c r="E42" s="3" t="s">
        <v>204</v>
      </c>
      <c r="F42" s="3" t="s">
        <v>17</v>
      </c>
      <c r="G42" s="3" t="s">
        <v>18</v>
      </c>
      <c r="H42" s="3">
        <v>5</v>
      </c>
      <c r="I42" s="3" t="s">
        <v>34</v>
      </c>
      <c r="J42" s="3" t="s">
        <v>205</v>
      </c>
      <c r="K42" s="3" t="s">
        <v>206</v>
      </c>
      <c r="L42" s="3" t="s">
        <v>22</v>
      </c>
    </row>
    <row r="43" spans="1:12" ht="72" customHeight="1">
      <c r="A43" s="3" t="s">
        <v>207</v>
      </c>
      <c r="B43" s="3" t="s">
        <v>208</v>
      </c>
      <c r="C43" s="3" t="s">
        <v>39</v>
      </c>
      <c r="D43" s="3">
        <v>3</v>
      </c>
      <c r="E43" s="3" t="s">
        <v>204</v>
      </c>
      <c r="F43" s="3" t="s">
        <v>17</v>
      </c>
      <c r="G43" s="3" t="s">
        <v>33</v>
      </c>
      <c r="H43" s="3">
        <v>3</v>
      </c>
      <c r="I43" s="3" t="s">
        <v>34</v>
      </c>
      <c r="J43" s="3" t="s">
        <v>209</v>
      </c>
      <c r="K43" s="3" t="s">
        <v>210</v>
      </c>
      <c r="L43" s="3" t="s">
        <v>22</v>
      </c>
    </row>
    <row r="44" spans="1:12" ht="72" customHeight="1">
      <c r="A44" s="3" t="s">
        <v>211</v>
      </c>
      <c r="B44" s="3" t="s">
        <v>212</v>
      </c>
      <c r="C44" s="3" t="s">
        <v>55</v>
      </c>
      <c r="D44" s="3">
        <v>3</v>
      </c>
      <c r="E44" s="3" t="s">
        <v>67</v>
      </c>
      <c r="F44" s="3" t="s">
        <v>17</v>
      </c>
      <c r="G44" s="3" t="s">
        <v>18</v>
      </c>
      <c r="H44" s="3">
        <v>5</v>
      </c>
      <c r="I44" s="3" t="s">
        <v>213</v>
      </c>
      <c r="J44" s="3" t="s">
        <v>214</v>
      </c>
      <c r="K44" s="3" t="s">
        <v>215</v>
      </c>
      <c r="L44" s="3" t="s">
        <v>22</v>
      </c>
    </row>
    <row r="45" spans="1:12" ht="72" customHeight="1">
      <c r="A45" s="3" t="s">
        <v>216</v>
      </c>
      <c r="B45" s="3" t="s">
        <v>217</v>
      </c>
      <c r="C45" s="3" t="s">
        <v>39</v>
      </c>
      <c r="D45" s="3">
        <v>3</v>
      </c>
      <c r="E45" s="3" t="s">
        <v>218</v>
      </c>
      <c r="F45" s="3" t="s">
        <v>168</v>
      </c>
      <c r="G45" s="3" t="s">
        <v>18</v>
      </c>
      <c r="H45" s="3">
        <v>3</v>
      </c>
      <c r="I45" s="3" t="s">
        <v>62</v>
      </c>
      <c r="J45" s="3" t="s">
        <v>219</v>
      </c>
      <c r="K45" s="3" t="s">
        <v>220</v>
      </c>
      <c r="L45" s="3" t="s">
        <v>22</v>
      </c>
    </row>
    <row r="46" spans="1:12" ht="72" customHeight="1">
      <c r="A46" s="3" t="s">
        <v>221</v>
      </c>
      <c r="B46" s="3" t="s">
        <v>222</v>
      </c>
      <c r="C46" s="3" t="s">
        <v>223</v>
      </c>
      <c r="D46" s="3">
        <v>4</v>
      </c>
      <c r="E46" s="3" t="s">
        <v>224</v>
      </c>
      <c r="F46" s="3" t="s">
        <v>225</v>
      </c>
      <c r="G46" s="3" t="s">
        <v>18</v>
      </c>
      <c r="H46" s="3">
        <v>3</v>
      </c>
      <c r="I46" s="3" t="s">
        <v>223</v>
      </c>
      <c r="J46" s="3" t="s">
        <v>226</v>
      </c>
      <c r="K46" s="3" t="s">
        <v>227</v>
      </c>
      <c r="L46" s="3" t="s">
        <v>22</v>
      </c>
    </row>
  </sheetData>
  <mergeCells count="1">
    <mergeCell ref="A1:L1"/>
  </mergeCells>
  <conditionalFormatting sqref="G3:G46">
    <cfRule type="expression" dxfId="6" priority="1">
      <formula>$G3="Must"</formula>
    </cfRule>
    <cfRule type="expression" dxfId="5" priority="2">
      <formula>$G3="Should"</formula>
    </cfRule>
    <cfRule type="expression" dxfId="4" priority="3">
      <formula>$G3="Could"</formula>
    </cfRule>
  </conditionalFormatting>
  <conditionalFormatting sqref="L3:L46">
    <cfRule type="expression" dxfId="3" priority="4">
      <formula>$L3="No iniciado"</formula>
    </cfRule>
    <cfRule type="expression" dxfId="2" priority="5">
      <formula>$L3="En proceso"</formula>
    </cfRule>
    <cfRule type="expression" dxfId="1" priority="6">
      <formula>$L3="Implementado"</formula>
    </cfRule>
    <cfRule type="expression" dxfId="0" priority="7">
      <formula>$L3="Validado"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Criterios!$C$2:$C$5</xm:f>
          </x14:formula1>
          <xm:sqref>D3:D46</xm:sqref>
        </x14:dataValidation>
        <x14:dataValidation type="list" xr:uid="{00000000-0002-0000-0000-000001000000}">
          <x14:formula1>
            <xm:f>Criterios!$B$2:$B$4</xm:f>
          </x14:formula1>
          <xm:sqref>G3:G46</xm:sqref>
        </x14:dataValidation>
        <x14:dataValidation type="list" xr:uid="{00000000-0002-0000-0000-000002000000}">
          <x14:formula1>
            <xm:f>Criterios!$A$2:$A$5</xm:f>
          </x14:formula1>
          <xm:sqref>L3:L46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/>
  </sheetViews>
  <sheetFormatPr defaultRowHeight="14.25"/>
  <cols>
    <col min="1" max="1" width="32" customWidth="1"/>
    <col min="2" max="2" width="20" customWidth="1"/>
    <col min="3" max="3" width="42" customWidth="1"/>
    <col min="4" max="5" width="22" customWidth="1"/>
  </cols>
  <sheetData>
    <row r="1" spans="1:8" ht="30" customHeight="1">
      <c r="A1" s="8" t="s">
        <v>228</v>
      </c>
      <c r="B1" s="9"/>
      <c r="C1" s="9"/>
      <c r="D1" s="11"/>
      <c r="E1" s="11"/>
      <c r="F1" s="11"/>
      <c r="G1" s="11"/>
      <c r="H1" s="11"/>
    </row>
    <row r="3" spans="1:8" ht="24" customHeight="1">
      <c r="A3" s="5" t="s">
        <v>229</v>
      </c>
      <c r="B3" s="5">
        <f>COUNTA('Product Backlog'!A3:A46)</f>
        <v>44</v>
      </c>
      <c r="C3" s="5" t="s">
        <v>230</v>
      </c>
      <c r="D3" s="5">
        <f>COUNTIF('Product Backlog'!G3:G46,"Must")</f>
        <v>0</v>
      </c>
      <c r="E3" s="5" t="s">
        <v>231</v>
      </c>
      <c r="F3" s="5">
        <f>COUNTIF('Product Backlog'!G3:G46,"Should")</f>
        <v>0</v>
      </c>
      <c r="G3" s="5" t="s">
        <v>8</v>
      </c>
      <c r="H3" s="5">
        <f>SUM('Product Backlog'!H3:H46)</f>
        <v>198</v>
      </c>
    </row>
    <row r="5" spans="1:8" ht="15">
      <c r="A5" s="6" t="s">
        <v>4</v>
      </c>
      <c r="B5" s="6" t="s">
        <v>232</v>
      </c>
      <c r="C5" s="6" t="s">
        <v>233</v>
      </c>
      <c r="D5" s="6" t="s">
        <v>230</v>
      </c>
      <c r="E5" s="6" t="s">
        <v>8</v>
      </c>
    </row>
    <row r="6" spans="1:8" ht="57">
      <c r="A6" s="2">
        <v>1</v>
      </c>
      <c r="B6" s="2" t="s">
        <v>234</v>
      </c>
      <c r="C6" s="2">
        <f>COUNTIF('Product Backlog'!D:D,A6)</f>
        <v>10</v>
      </c>
      <c r="D6" s="2">
        <f>COUNTIFS('Product Backlog'!D:D,A6,'Product Backlog'!G:G,"Must")</f>
        <v>0</v>
      </c>
      <c r="E6" s="2">
        <f>SUMIF('Product Backlog'!D:D,A6,'Product Backlog'!H:H)</f>
        <v>30</v>
      </c>
    </row>
    <row r="7" spans="1:8" ht="57">
      <c r="A7" s="2">
        <v>2</v>
      </c>
      <c r="B7" s="2" t="s">
        <v>235</v>
      </c>
      <c r="C7" s="2">
        <f>COUNTIF('Product Backlog'!D:D,A7)</f>
        <v>18</v>
      </c>
      <c r="D7" s="2">
        <f>COUNTIFS('Product Backlog'!D:D,A7,'Product Backlog'!G:G,"Must")</f>
        <v>0</v>
      </c>
      <c r="E7" s="2">
        <f>SUMIF('Product Backlog'!D:D,A7,'Product Backlog'!H:H)</f>
        <v>88</v>
      </c>
    </row>
    <row r="8" spans="1:8" ht="42.75">
      <c r="A8" s="2">
        <v>3</v>
      </c>
      <c r="B8" s="2" t="s">
        <v>236</v>
      </c>
      <c r="C8" s="2">
        <f>COUNTIF('Product Backlog'!D:D,A8)</f>
        <v>15</v>
      </c>
      <c r="D8" s="2">
        <f>COUNTIFS('Product Backlog'!D:D,A8,'Product Backlog'!G:G,"Must")</f>
        <v>0</v>
      </c>
      <c r="E8" s="2">
        <f>SUMIF('Product Backlog'!D:D,A8,'Product Backlog'!H:H)</f>
        <v>77</v>
      </c>
    </row>
    <row r="9" spans="1:8" ht="42.75">
      <c r="A9" s="2">
        <v>4</v>
      </c>
      <c r="B9" s="2" t="s">
        <v>237</v>
      </c>
      <c r="C9" s="2">
        <f>COUNTIF('Product Backlog'!D:D,A9)</f>
        <v>1</v>
      </c>
      <c r="D9" s="2">
        <f>COUNTIFS('Product Backlog'!D:D,A9,'Product Backlog'!G:G,"Must")</f>
        <v>0</v>
      </c>
      <c r="E9" s="2">
        <f>SUMIF('Product Backlog'!D:D,A9,'Product Backlog'!H:H)</f>
        <v>3</v>
      </c>
    </row>
    <row r="12" spans="1:8" ht="35.1" customHeight="1">
      <c r="A12" s="6" t="s">
        <v>238</v>
      </c>
      <c r="B12" s="6" t="s">
        <v>239</v>
      </c>
      <c r="C12" s="6" t="s">
        <v>240</v>
      </c>
    </row>
    <row r="13" spans="1:8" ht="35.1" customHeight="1">
      <c r="A13" s="2" t="s">
        <v>241</v>
      </c>
      <c r="B13" s="2" t="s">
        <v>242</v>
      </c>
      <c r="C13" s="2" t="s">
        <v>243</v>
      </c>
    </row>
    <row r="14" spans="1:8" ht="35.1" customHeight="1">
      <c r="A14" s="2" t="s">
        <v>244</v>
      </c>
      <c r="B14" s="2" t="s">
        <v>242</v>
      </c>
      <c r="C14" s="2" t="s">
        <v>245</v>
      </c>
    </row>
    <row r="15" spans="1:8" ht="35.1" customHeight="1">
      <c r="A15" s="2" t="s">
        <v>246</v>
      </c>
      <c r="B15" s="2" t="s">
        <v>242</v>
      </c>
      <c r="C15" s="2" t="s">
        <v>247</v>
      </c>
    </row>
    <row r="16" spans="1:8" ht="35.1" customHeight="1">
      <c r="A16" s="2" t="s">
        <v>248</v>
      </c>
      <c r="B16" s="2" t="s">
        <v>242</v>
      </c>
      <c r="C16" s="2" t="s">
        <v>249</v>
      </c>
    </row>
    <row r="17" spans="1:8" ht="35.1" customHeight="1">
      <c r="A17" s="2" t="s">
        <v>130</v>
      </c>
      <c r="B17" s="2" t="s">
        <v>242</v>
      </c>
      <c r="C17" s="2" t="s">
        <v>250</v>
      </c>
    </row>
    <row r="18" spans="1:8" ht="35.1" customHeight="1">
      <c r="A18" s="2" t="s">
        <v>67</v>
      </c>
      <c r="B18" s="2" t="s">
        <v>242</v>
      </c>
      <c r="C18" s="2" t="s">
        <v>251</v>
      </c>
    </row>
    <row r="19" spans="1:8" ht="35.1" customHeight="1">
      <c r="A19" s="2" t="s">
        <v>252</v>
      </c>
      <c r="B19" s="2" t="s">
        <v>242</v>
      </c>
      <c r="C19" s="2" t="s">
        <v>253</v>
      </c>
    </row>
    <row r="20" spans="1:8" ht="35.1" customHeight="1">
      <c r="A20" s="2" t="s">
        <v>254</v>
      </c>
      <c r="B20" s="2" t="s">
        <v>242</v>
      </c>
      <c r="C20" s="2" t="s">
        <v>255</v>
      </c>
    </row>
    <row r="21" spans="1:8" ht="35.1" customHeight="1">
      <c r="A21" s="2" t="s">
        <v>256</v>
      </c>
      <c r="B21" s="2" t="s">
        <v>242</v>
      </c>
      <c r="C21" s="2" t="s">
        <v>257</v>
      </c>
    </row>
    <row r="22" spans="1:8" ht="35.1" customHeight="1">
      <c r="A22" s="2" t="s">
        <v>258</v>
      </c>
      <c r="B22" s="2" t="s">
        <v>242</v>
      </c>
      <c r="C22" s="2" t="s">
        <v>259</v>
      </c>
    </row>
    <row r="23" spans="1:8" ht="35.1" customHeight="1">
      <c r="A23" s="2" t="s">
        <v>260</v>
      </c>
      <c r="B23" s="2" t="s">
        <v>242</v>
      </c>
      <c r="C23" s="2" t="s">
        <v>261</v>
      </c>
    </row>
    <row r="24" spans="1:8" ht="35.1" customHeight="1">
      <c r="A24" s="2" t="s">
        <v>262</v>
      </c>
      <c r="B24" s="2" t="s">
        <v>242</v>
      </c>
      <c r="C24" s="2" t="s">
        <v>263</v>
      </c>
    </row>
    <row r="25" spans="1:8" ht="35.1" customHeight="1">
      <c r="A25" s="2" t="s">
        <v>264</v>
      </c>
      <c r="B25" s="2" t="s">
        <v>242</v>
      </c>
      <c r="C25" s="2" t="s">
        <v>265</v>
      </c>
    </row>
    <row r="28" spans="1:8" ht="44.1" customHeight="1">
      <c r="A28" s="10" t="s">
        <v>266</v>
      </c>
      <c r="B28" s="11"/>
      <c r="C28" s="11"/>
      <c r="D28" s="11"/>
      <c r="E28" s="11"/>
      <c r="F28" s="11"/>
      <c r="G28" s="11"/>
      <c r="H28" s="11"/>
    </row>
  </sheetData>
  <mergeCells count="2">
    <mergeCell ref="A1:H1"/>
    <mergeCell ref="A28:H28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25"/>
  <cols>
    <col min="1" max="5" width="18" customWidth="1"/>
  </cols>
  <sheetData>
    <row r="1" spans="1:5" ht="15">
      <c r="A1" s="4" t="s">
        <v>12</v>
      </c>
      <c r="B1" s="4" t="s">
        <v>267</v>
      </c>
      <c r="C1" s="4" t="s">
        <v>4</v>
      </c>
      <c r="D1" s="4" t="s">
        <v>15</v>
      </c>
      <c r="E1" s="4" t="s">
        <v>9</v>
      </c>
    </row>
    <row r="2" spans="1:5">
      <c r="A2" t="s">
        <v>22</v>
      </c>
      <c r="B2" t="s">
        <v>230</v>
      </c>
      <c r="C2">
        <v>1</v>
      </c>
      <c r="D2" t="s">
        <v>15</v>
      </c>
      <c r="E2" t="s">
        <v>268</v>
      </c>
    </row>
    <row r="3" spans="1:5">
      <c r="A3" t="s">
        <v>269</v>
      </c>
      <c r="B3" t="s">
        <v>231</v>
      </c>
      <c r="C3">
        <v>2</v>
      </c>
      <c r="D3" t="s">
        <v>44</v>
      </c>
      <c r="E3" t="s">
        <v>270</v>
      </c>
    </row>
    <row r="4" spans="1:5">
      <c r="A4" t="s">
        <v>271</v>
      </c>
      <c r="B4" t="s">
        <v>272</v>
      </c>
      <c r="C4">
        <v>3</v>
      </c>
      <c r="D4" t="s">
        <v>50</v>
      </c>
      <c r="E4" t="s">
        <v>273</v>
      </c>
    </row>
    <row r="5" spans="1:5">
      <c r="A5" t="s">
        <v>274</v>
      </c>
      <c r="C5">
        <v>4</v>
      </c>
      <c r="D5" t="s">
        <v>55</v>
      </c>
      <c r="E5" t="s">
        <v>275</v>
      </c>
    </row>
    <row r="6" spans="1:5">
      <c r="D6" t="s">
        <v>39</v>
      </c>
      <c r="E6" t="s">
        <v>276</v>
      </c>
    </row>
    <row r="7" spans="1:5">
      <c r="D7" t="s">
        <v>277</v>
      </c>
      <c r="E7" t="s">
        <v>278</v>
      </c>
    </row>
    <row r="8" spans="1:5">
      <c r="D8" t="s">
        <v>223</v>
      </c>
      <c r="E8" t="s">
        <v>279</v>
      </c>
    </row>
    <row r="9" spans="1:5">
      <c r="D9" t="s">
        <v>280</v>
      </c>
      <c r="E9" t="s">
        <v>223</v>
      </c>
    </row>
    <row r="10" spans="1:5">
      <c r="D10" t="s">
        <v>281</v>
      </c>
      <c r="E10" t="s">
        <v>282</v>
      </c>
    </row>
    <row r="11" spans="1:5">
      <c r="D11" t="s">
        <v>85</v>
      </c>
    </row>
    <row r="12" spans="1:5">
      <c r="D1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u20221b471 (Reyes Valenzuela, Renato German)</cp:lastModifiedBy>
  <cp:revision/>
  <dcterms:created xsi:type="dcterms:W3CDTF">2026-05-08T17:00:35Z</dcterms:created>
  <dcterms:modified xsi:type="dcterms:W3CDTF">2026-05-09T01:18:58Z</dcterms:modified>
  <cp:category/>
  <cp:contentStatus/>
</cp:coreProperties>
</file>