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esktop\2026\CAMILO Y SU PAPA\"/>
    </mc:Choice>
  </mc:AlternateContent>
  <xr:revisionPtr revIDLastSave="0" documentId="13_ncr:1_{ED716BE0-AA4D-4F2D-98D0-A5DEFEB5BD9E}" xr6:coauthVersionLast="47" xr6:coauthVersionMax="47" xr10:uidLastSave="{00000000-0000-0000-0000-000000000000}"/>
  <bookViews>
    <workbookView xWindow="-110" yWindow="-110" windowWidth="19420" windowHeight="10300" tabRatio="500" activeTab="2" xr2:uid="{00000000-000D-0000-FFFF-FFFF00000000}"/>
  </bookViews>
  <sheets>
    <sheet name="Instrucciones" sheetId="1" r:id="rId1"/>
    <sheet name="Adjudicación" sheetId="2" r:id="rId2"/>
    <sheet name="Registro" sheetId="3" r:id="rId3"/>
  </sheets>
  <calcPr calcId="18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C13" i="3" l="1"/>
</calcChain>
</file>

<file path=xl/sharedStrings.xml><?xml version="1.0" encoding="utf-8"?>
<sst xmlns="http://schemas.openxmlformats.org/spreadsheetml/2006/main" count="241" uniqueCount="125">
  <si>
    <t>Adjudicación de relevancia — instrumento piloto</t>
  </si>
  <si>
    <t>Proyecto Sinapsistencia · Emparejamiento médico–abogado</t>
  </si>
  <si>
    <t>Qué vas a hacer</t>
  </si>
  <si>
    <t>En la hoja «Adjudicación» vas a ver pares. Cada fila tiene, a la izquierda, el resumen de una consulta médico-legal y, a la derecha, el perfil de un abogado.</t>
  </si>
  <si>
    <t>Para cada fila respondes una sola pregunta:</t>
  </si>
  <si>
    <t>¿Qué tan apropiado es este abogado para atender esta consulta?</t>
  </si>
  <si>
    <t>Cómo respondes</t>
  </si>
  <si>
    <t>Llenas las tres columnas amarillas. Las demás son solo de lectura.</t>
  </si>
  <si>
    <t xml:space="preserve">     2  =  Claramente apropiado. La vía legal que el caso necesita coincide con su especialidad, y además tiene experiencia en esa área médica o en una cercana.</t>
  </si>
  <si>
    <t xml:space="preserve">     1  =  Parcialmente apropiado. Coincide una cosa pero no la otra. Podría llevar el caso, pero no es el perfil ideal.</t>
  </si>
  <si>
    <t xml:space="preserve">     0  =  No apropiado. No es su vía legal, o el área médica le es ajena.</t>
  </si>
  <si>
    <t>Confianza: marcas Alta, Media o Baja según qué tan seguro te sientas del juicio.</t>
  </si>
  <si>
    <t>Marcar «Baja» es una respuesta perfectamente válida. Si el caso está fuera de tu terreno o la descripción no alcanza, márcalo así. Esa duda me sirve tanto como una respuesta segura.</t>
  </si>
  <si>
    <t>Justificación: solo en las filas donde diga «Sí» en la columna correspondiente. Una frase corta basta.</t>
  </si>
  <si>
    <t>Cosas importantes</t>
  </si>
  <si>
    <t>•  Cada fila se juzga por separado. No estás eligiendo al mejor abogado ni ordenándolos.</t>
  </si>
  <si>
    <t>•  No juzgas el caso médico. No importa si hubo mala praxis ni qué tan grave fue. Solo si el abogado calza.</t>
  </si>
  <si>
    <t>•  Ignora la disponibilidad o la carga de trabajo. El sistema ya filtra por eso antes.</t>
  </si>
  <si>
    <t>•  Ve rápido. Uno o dos minutos por fila. Tu primera impresión profesional es lo que busco.</t>
  </si>
  <si>
    <t>•  Verás casos que se parecen entre sí. Es a propósito. No trates de recordar qué respondiste antes.</t>
  </si>
  <si>
    <t>•  No consultes nada externo: ni buscadores, ni herramientas de inteligencia artificial, ni colegas. Lo que necesito medir es tu criterio, el que traes de tu experiencia pericial. Si la respuesta viene de otra herramienta, la tesis pierde exactamente lo que la hace válida.</t>
  </si>
  <si>
    <t>Cuándo y cómo</t>
  </si>
  <si>
    <t>Puedes hacerlo cuando te acomode y en las tandas que quieras. Solo te pido que anotes en la hoja «Registro» las fechas y los horarios en que trabajaste, y que al terminar completes la declaración que está al final de esa hoja.</t>
  </si>
  <si>
    <t>Este es un piloto: son pocas filas. Sirve para confirmar que el formato se entiende y que los criterios son claros, antes de armar la versión completa. Si algo te resulta confuso o mal planteado, anótalo en la hoja «Registro»: eso es justamente lo que quiero descubrir ahora.</t>
  </si>
  <si>
    <t>Los datos de este ejercicio son simulados. No corresponden a pacientes, casos ni profesionales reales.</t>
  </si>
  <si>
    <t>ID</t>
  </si>
  <si>
    <t>Resumen de la consulta</t>
  </si>
  <si>
    <t>Especialidad médica</t>
  </si>
  <si>
    <t>Urgencia</t>
  </si>
  <si>
    <t>Abogado</t>
  </si>
  <si>
    <t>Especialidad legal</t>
  </si>
  <si>
    <t>Áreas médicas</t>
  </si>
  <si>
    <t>Años</t>
  </si>
  <si>
    <t>Relevancia (0/1/2)</t>
  </si>
  <si>
    <t>Confianza</t>
  </si>
  <si>
    <t>¿Justificar?</t>
  </si>
  <si>
    <t>Justificación</t>
  </si>
  <si>
    <t>P01</t>
  </si>
  <si>
    <t>Paciente de 58 años sometido a colecistectomía laparoscópica bajo anestesia general. Durante la inducción presenta desaturación prolongada; queda con déficit neurológico persistente. La familia anuncia acciones legales contra el anestesiólogo tratante.</t>
  </si>
  <si>
    <t>Anestesiología</t>
  </si>
  <si>
    <t>Alta</t>
  </si>
  <si>
    <t>Dr. Martín Solano Reátegui</t>
  </si>
  <si>
    <t>Penal por negligencia médica</t>
  </si>
  <si>
    <t>Anestesiología, Cuidados Críticos</t>
  </si>
  <si>
    <t>Sí</t>
  </si>
  <si>
    <t>P02</t>
  </si>
  <si>
    <t>Dra. Elena Carrasco Vidal</t>
  </si>
  <si>
    <t>Responsabilidad civil médica</t>
  </si>
  <si>
    <t>Anestesiología, Cirugía General</t>
  </si>
  <si>
    <t>P03</t>
  </si>
  <si>
    <t>Dr. Javier Ríos Altamirano</t>
  </si>
  <si>
    <t>Laboral-sanitario</t>
  </si>
  <si>
    <t>Relaciones laborales del personal de salud</t>
  </si>
  <si>
    <t>P04</t>
  </si>
  <si>
    <t>Gestante de 34 semanas ingresa por sufrimiento fetal agudo. La cesárea se realiza con demora respecto del protocolo institucional. El recién nacido presenta encefalopatía hipóxica. La familia reclama indemnización.</t>
  </si>
  <si>
    <t>Ginecología y Obstetricia</t>
  </si>
  <si>
    <t>Crítica</t>
  </si>
  <si>
    <t>Dr. Alonso Bermúdez Ching</t>
  </si>
  <si>
    <t>Ginecología y Obstetricia, Pediatría</t>
  </si>
  <si>
    <t>P05</t>
  </si>
  <si>
    <t>Dra. Paula Miranda Osorio</t>
  </si>
  <si>
    <t>Seguros y coberturas en salud</t>
  </si>
  <si>
    <t>Transversal a especialidades</t>
  </si>
  <si>
    <t>P06</t>
  </si>
  <si>
    <t>Dra. Rocío Paredes Quispe</t>
  </si>
  <si>
    <t>Administrativo sanitario (SUSALUD)</t>
  </si>
  <si>
    <t>Gestión hospitalaria, Calidad asistencial</t>
  </si>
  <si>
    <t>P07</t>
  </si>
  <si>
    <t>Control postoperatorio a los cuatro meses de una laparotomía revela material quirúrgico retenido en cavidad abdominal. Se programa reintervención. El paciente solicita orientación sobre reparación del daño.</t>
  </si>
  <si>
    <t>Cirugía General</t>
  </si>
  <si>
    <t>Media</t>
  </si>
  <si>
    <t>Dra. Silvia Ñahui Contreras</t>
  </si>
  <si>
    <t>Cirugía General, Traumatología</t>
  </si>
  <si>
    <t>P08</t>
  </si>
  <si>
    <t>P09</t>
  </si>
  <si>
    <t>P10</t>
  </si>
  <si>
    <t>P11</t>
  </si>
  <si>
    <t>Paciente hospitalizado recibe anticoagulante en dosis diez veces superior a la indicada por error de transcripción. El error se detecta antes de consecuencias clínicas. El médico tratante solicita orientación preventiva.</t>
  </si>
  <si>
    <t>Medicina Interna</t>
  </si>
  <si>
    <t>Dr. Renzo Villanueva Paz</t>
  </si>
  <si>
    <t>Medicina Interna, Farmacología clínica</t>
  </si>
  <si>
    <t>P12</t>
  </si>
  <si>
    <t>P13</t>
  </si>
  <si>
    <t>P14</t>
  </si>
  <si>
    <t>Paciente acude a emergencia con dolor torácico y permanece seis horas sin evaluación médica. Fallece en sala de espera. Los familiares presentan queja formal ante SUSALUD contra el establecimiento.</t>
  </si>
  <si>
    <t>Emergencia</t>
  </si>
  <si>
    <t>P15</t>
  </si>
  <si>
    <t>P16</t>
  </si>
  <si>
    <t>P17</t>
  </si>
  <si>
    <t>P18</t>
  </si>
  <si>
    <t>Paciente sometido a artroscopia de rodilla alega no haber sido informado de las complicaciones posibles ni haber firmado consentimiento válido. Presenta limitación funcional residual.</t>
  </si>
  <si>
    <t>Traumatología</t>
  </si>
  <si>
    <t>Baja</t>
  </si>
  <si>
    <t>P19</t>
  </si>
  <si>
    <t>P20</t>
  </si>
  <si>
    <t>P21</t>
  </si>
  <si>
    <t>Registro de la sesión</t>
  </si>
  <si>
    <t>Anota las tandas en que trabajaste. No importa cuántas sean.</t>
  </si>
  <si>
    <t>Tanda</t>
  </si>
  <si>
    <t>Fecha</t>
  </si>
  <si>
    <t>Hora de inicio</t>
  </si>
  <si>
    <t>Hora de término</t>
  </si>
  <si>
    <t>Tanda 1</t>
  </si>
  <si>
    <t>Tanda 2</t>
  </si>
  <si>
    <t>Tanda 3</t>
  </si>
  <si>
    <t>Tanda 4</t>
  </si>
  <si>
    <t>Avance</t>
  </si>
  <si>
    <t>Filas respondidas</t>
  </si>
  <si>
    <t>de 21</t>
  </si>
  <si>
    <t>Comentarios sobre el instrumento</t>
  </si>
  <si>
    <t>¿Hubo algo confuso, mal redactado o difícil de decidir? Esto es lo más valioso del piloto.</t>
  </si>
  <si>
    <t>Declaración</t>
  </si>
  <si>
    <t>Declaro que las respuestas de este instrumento reflejan mi criterio profesional y que no consulté buscadores, herramientas de inteligencia artificial ni a terceros para emitirlas.</t>
  </si>
  <si>
    <t>Nombre</t>
  </si>
  <si>
    <t>Colegiatura / credencial</t>
  </si>
  <si>
    <t>Conforme (Sí/No)</t>
  </si>
  <si>
    <t>Las celdas amarillas son las que se llenan. El resto es solo de lectura.</t>
  </si>
  <si>
    <t>Mas que responsabiliad civil, sería una responsabilidad penal; demorar el Protocolo de Atención, causó una secuela irreversible en el RN.</t>
  </si>
  <si>
    <t>El abogado debe conocer al detalle el proceso legal que permita restablecer la salud a su cliente así como la indemnizacion correspondiente que le ayude a recuperarse.</t>
  </si>
  <si>
    <t>El caso clínico tiene responsabilidad civil más que penal</t>
  </si>
  <si>
    <t>Tanto el médico tratante (cirujano) y el anestesiólogo deben revisar antes de intervenirlo, los medicamentos, sus dosis y las horas administradas.</t>
  </si>
  <si>
    <t>Al parecer lo que falló es la logistica o premura en la atencion de emergencia; a lo mejor estaba colapsado y eso no es responsabilidad del personal asistencial.</t>
  </si>
  <si>
    <t>Las especialidades que participan del Acto quirúrgico, deben verificar las firmas de los Constimientos así como informar de las diferentes complicaciones</t>
  </si>
  <si>
    <t>Augusto M. Vásquez Carrasco</t>
  </si>
  <si>
    <t>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</si>
</sst>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6"/>
      <color rgb="FF1F3864"/>
      <name val="Arial"/>
      <charset val="1"/>
    </font>
    <font>
      <i/>
      <sz val="10"/>
      <color rgb="FF595959"/>
      <name val="Arial"/>
      <charset val="1"/>
    </font>
    <font>
      <b/>
      <sz val="12"/>
      <color rgb="FF1F3864"/>
      <name val="Arial"/>
      <charset val="1"/>
    </font>
    <font>
      <sz val="11"/>
      <color rgb="FF000000"/>
      <name val="Arial"/>
      <charset val="1"/>
    </font>
    <font>
      <b/>
      <sz val="12"/>
      <color rgb="FF000000"/>
      <name val="Arial"/>
      <charset val="1"/>
    </font>
    <font>
      <b/>
      <sz val="11"/>
      <color rgb="FF000000"/>
      <name val="Arial"/>
      <charset val="1"/>
    </font>
    <font>
      <i/>
      <sz val="11"/>
      <color rgb="FF595959"/>
      <name val="Arial"/>
      <charset val="1"/>
    </font>
    <font>
      <i/>
      <sz val="9"/>
      <color rgb="FF808080"/>
      <name val="Arial"/>
      <charset val="1"/>
    </font>
    <font>
      <b/>
      <sz val="10"/>
      <color rgb="FF1F3864"/>
      <name val="Arial"/>
      <charset val="1"/>
    </font>
    <font>
      <sz val="10"/>
      <name val="Arial"/>
      <charset val="1"/>
    </font>
    <font>
      <b/>
      <sz val="15"/>
      <color rgb="FF1F3864"/>
      <name val="Arial"/>
      <charset val="1"/>
    </font>
    <font>
      <b/>
      <sz val="10"/>
      <name val="Arial"/>
      <charset val="1"/>
    </font>
    <font>
      <sz val="10"/>
      <color rgb="FF595959"/>
      <name val="Arial"/>
      <charset val="1"/>
    </font>
  </fonts>
  <fills count="4">
    <fill>
      <patternFill patternType="none"/>
    </fill>
    <fill>
      <patternFill patternType="gray125"/>
    </fill>
    <fill>
      <patternFill patternType="solid">
        <fgColor rgb="FFD9E2F3"/>
        <bgColor rgb="FFCCFFFF"/>
      </patternFill>
    </fill>
    <fill>
      <patternFill patternType="solid">
        <fgColor rgb="FFFFF2CC"/>
        <bgColor rgb="FFFFFFFF"/>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24">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7" fillId="0" borderId="0" xfId="0" applyFont="1" applyAlignment="1">
      <alignment vertical="top" wrapText="1"/>
    </xf>
    <xf numFmtId="0" fontId="8" fillId="0" borderId="0" xfId="0" applyFont="1" applyAlignment="1">
      <alignment vertical="top" wrapText="1"/>
    </xf>
    <xf numFmtId="0" fontId="9" fillId="2" borderId="1" xfId="0" applyFont="1" applyFill="1" applyBorder="1" applyAlignment="1">
      <alignment horizontal="center" vertical="center" wrapText="1"/>
    </xf>
    <xf numFmtId="0" fontId="10" fillId="0" borderId="1" xfId="0" applyFont="1" applyBorder="1" applyAlignment="1">
      <alignment horizontal="center" vertical="top"/>
    </xf>
    <xf numFmtId="0" fontId="10" fillId="0" borderId="1" xfId="0" applyFont="1" applyBorder="1" applyAlignment="1">
      <alignment horizontal="left" vertical="top" wrapText="1"/>
    </xf>
    <xf numFmtId="0" fontId="10" fillId="0" borderId="1" xfId="0" applyFont="1" applyBorder="1" applyAlignment="1">
      <alignment horizontal="left" vertical="top"/>
    </xf>
    <xf numFmtId="0" fontId="10" fillId="3" borderId="1" xfId="0" applyFont="1" applyFill="1" applyBorder="1" applyAlignment="1">
      <alignment horizontal="center" vertical="top"/>
    </xf>
    <xf numFmtId="0" fontId="10" fillId="3" borderId="1" xfId="0" applyFont="1" applyFill="1" applyBorder="1" applyAlignment="1">
      <alignment horizontal="left" vertical="top" wrapText="1"/>
    </xf>
    <xf numFmtId="0" fontId="11" fillId="0" borderId="0" xfId="0" applyFont="1" applyAlignment="1">
      <alignment vertical="top" wrapText="1"/>
    </xf>
    <xf numFmtId="0" fontId="9" fillId="2" borderId="1" xfId="0" applyFont="1" applyFill="1" applyBorder="1" applyAlignment="1">
      <alignment horizontal="center"/>
    </xf>
    <xf numFmtId="0" fontId="10" fillId="0" borderId="1" xfId="0" applyFont="1" applyBorder="1"/>
    <xf numFmtId="0" fontId="0" fillId="3" borderId="1" xfId="0" applyFill="1" applyBorder="1"/>
    <xf numFmtId="0" fontId="10" fillId="0" borderId="0" xfId="0" applyFont="1"/>
    <xf numFmtId="0" fontId="12" fillId="0" borderId="1" xfId="0" applyFont="1" applyBorder="1" applyAlignment="1">
      <alignment horizontal="center"/>
    </xf>
    <xf numFmtId="0" fontId="13" fillId="0" borderId="0" xfId="0" applyFont="1"/>
    <xf numFmtId="14" fontId="0" fillId="3" borderId="1" xfId="0" applyNumberFormat="1" applyFill="1" applyBorder="1"/>
    <xf numFmtId="20" fontId="0" fillId="3" borderId="1" xfId="0" applyNumberFormat="1" applyFill="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0B0"/>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37"/>
  <sheetViews>
    <sheetView showGridLines="0" zoomScaleNormal="100" workbookViewId="0">
      <selection activeCell="F19" sqref="F19"/>
    </sheetView>
  </sheetViews>
  <sheetFormatPr baseColWidth="10" defaultColWidth="8.6328125" defaultRowHeight="14.5" x14ac:dyDescent="0.35"/>
  <cols>
    <col min="1" max="1" width="3" customWidth="1"/>
    <col min="2" max="2" width="104" customWidth="1"/>
  </cols>
  <sheetData>
    <row r="2" spans="2:2" ht="20" x14ac:dyDescent="0.35">
      <c r="B2" s="1" t="s">
        <v>0</v>
      </c>
    </row>
    <row r="3" spans="2:2" x14ac:dyDescent="0.35">
      <c r="B3" s="2" t="s">
        <v>1</v>
      </c>
    </row>
    <row r="5" spans="2:2" ht="15.5" x14ac:dyDescent="0.35">
      <c r="B5" s="3" t="s">
        <v>2</v>
      </c>
    </row>
    <row r="6" spans="2:2" ht="30" customHeight="1" x14ac:dyDescent="0.35">
      <c r="B6" s="4" t="s">
        <v>3</v>
      </c>
    </row>
    <row r="8" spans="2:2" x14ac:dyDescent="0.35">
      <c r="B8" s="4" t="s">
        <v>4</v>
      </c>
    </row>
    <row r="9" spans="2:2" ht="15.5" x14ac:dyDescent="0.35">
      <c r="B9" s="5" t="s">
        <v>5</v>
      </c>
    </row>
    <row r="11" spans="2:2" ht="15.5" x14ac:dyDescent="0.35">
      <c r="B11" s="3" t="s">
        <v>6</v>
      </c>
    </row>
    <row r="12" spans="2:2" ht="18" customHeight="1" x14ac:dyDescent="0.35">
      <c r="B12" s="4" t="s">
        <v>7</v>
      </c>
    </row>
    <row r="14" spans="2:2" ht="30" customHeight="1" x14ac:dyDescent="0.35">
      <c r="B14" s="4" t="s">
        <v>8</v>
      </c>
    </row>
    <row r="15" spans="2:2" ht="30" customHeight="1" x14ac:dyDescent="0.35">
      <c r="B15" s="4" t="s">
        <v>9</v>
      </c>
    </row>
    <row r="16" spans="2:2" ht="18" customHeight="1" x14ac:dyDescent="0.35">
      <c r="B16" s="4" t="s">
        <v>10</v>
      </c>
    </row>
    <row r="18" spans="2:2" ht="18" customHeight="1" x14ac:dyDescent="0.35">
      <c r="B18" s="4" t="s">
        <v>11</v>
      </c>
    </row>
    <row r="19" spans="2:2" ht="30" customHeight="1" x14ac:dyDescent="0.35">
      <c r="B19" s="4" t="s">
        <v>12</v>
      </c>
    </row>
    <row r="21" spans="2:2" ht="18" customHeight="1" x14ac:dyDescent="0.35">
      <c r="B21" s="4" t="s">
        <v>13</v>
      </c>
    </row>
    <row r="23" spans="2:2" ht="15.5" x14ac:dyDescent="0.35">
      <c r="B23" s="3" t="s">
        <v>14</v>
      </c>
    </row>
    <row r="24" spans="2:2" ht="18" customHeight="1" x14ac:dyDescent="0.35">
      <c r="B24" s="4" t="s">
        <v>15</v>
      </c>
    </row>
    <row r="25" spans="2:2" ht="18" customHeight="1" x14ac:dyDescent="0.35">
      <c r="B25" s="4" t="s">
        <v>16</v>
      </c>
    </row>
    <row r="26" spans="2:2" ht="18" customHeight="1" x14ac:dyDescent="0.35">
      <c r="B26" s="4" t="s">
        <v>17</v>
      </c>
    </row>
    <row r="27" spans="2:2" ht="18" customHeight="1" x14ac:dyDescent="0.35">
      <c r="B27" s="4" t="s">
        <v>18</v>
      </c>
    </row>
    <row r="28" spans="2:2" ht="18" customHeight="1" x14ac:dyDescent="0.35">
      <c r="B28" s="4" t="s">
        <v>19</v>
      </c>
    </row>
    <row r="30" spans="2:2" ht="43.5" customHeight="1" x14ac:dyDescent="0.35">
      <c r="B30" s="6" t="s">
        <v>20</v>
      </c>
    </row>
    <row r="32" spans="2:2" ht="15.5" x14ac:dyDescent="0.35">
      <c r="B32" s="3" t="s">
        <v>21</v>
      </c>
    </row>
    <row r="33" spans="2:2" ht="43.5" customHeight="1" x14ac:dyDescent="0.35">
      <c r="B33" s="4" t="s">
        <v>22</v>
      </c>
    </row>
    <row r="35" spans="2:2" ht="48" customHeight="1" x14ac:dyDescent="0.35">
      <c r="B35" s="7" t="s">
        <v>23</v>
      </c>
    </row>
    <row r="37" spans="2:2" ht="15.75" customHeight="1" x14ac:dyDescent="0.35">
      <c r="B37" s="8" t="s">
        <v>24</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2"/>
  <sheetViews>
    <sheetView showGridLines="0" zoomScale="59" zoomScaleNormal="59" workbookViewId="0">
      <pane ySplit="1" topLeftCell="A2" activePane="bottomLeft" state="frozen"/>
      <selection pane="bottomLeft" activeCell="L22" sqref="L22"/>
    </sheetView>
  </sheetViews>
  <sheetFormatPr baseColWidth="10" defaultColWidth="8.6328125" defaultRowHeight="14.5" x14ac:dyDescent="0.35"/>
  <cols>
    <col min="1" max="1" width="7" customWidth="1"/>
    <col min="2" max="2" width="62" customWidth="1"/>
    <col min="3" max="3" width="22" customWidth="1"/>
    <col min="4" max="4" width="11" customWidth="1"/>
    <col min="5" max="5" width="26" customWidth="1"/>
    <col min="6" max="6" width="27" customWidth="1"/>
    <col min="7" max="7" width="32" customWidth="1"/>
    <col min="8" max="8" width="7" customWidth="1"/>
    <col min="9" max="9" width="17" customWidth="1"/>
    <col min="10" max="10" width="13" customWidth="1"/>
    <col min="11" max="11" width="12" customWidth="1"/>
    <col min="12" max="12" width="42" customWidth="1"/>
  </cols>
  <sheetData>
    <row r="1" spans="1:12" ht="31.5" customHeight="1" x14ac:dyDescent="0.35">
      <c r="A1" s="9" t="s">
        <v>25</v>
      </c>
      <c r="B1" s="9" t="s">
        <v>26</v>
      </c>
      <c r="C1" s="9" t="s">
        <v>27</v>
      </c>
      <c r="D1" s="9" t="s">
        <v>28</v>
      </c>
      <c r="E1" s="9" t="s">
        <v>29</v>
      </c>
      <c r="F1" s="9" t="s">
        <v>30</v>
      </c>
      <c r="G1" s="9" t="s">
        <v>31</v>
      </c>
      <c r="H1" s="9" t="s">
        <v>32</v>
      </c>
      <c r="I1" s="9" t="s">
        <v>33</v>
      </c>
      <c r="J1" s="9" t="s">
        <v>34</v>
      </c>
      <c r="K1" s="9" t="s">
        <v>35</v>
      </c>
      <c r="L1" s="9" t="s">
        <v>36</v>
      </c>
    </row>
    <row r="2" spans="1:12" ht="61.5" customHeight="1" x14ac:dyDescent="0.35">
      <c r="A2" s="10" t="s">
        <v>37</v>
      </c>
      <c r="B2" s="11" t="s">
        <v>38</v>
      </c>
      <c r="C2" s="12" t="s">
        <v>39</v>
      </c>
      <c r="D2" s="10" t="s">
        <v>40</v>
      </c>
      <c r="E2" s="12" t="s">
        <v>41</v>
      </c>
      <c r="F2" s="11" t="s">
        <v>42</v>
      </c>
      <c r="G2" s="11" t="s">
        <v>43</v>
      </c>
      <c r="H2" s="10">
        <v>11</v>
      </c>
      <c r="I2" s="13">
        <v>1</v>
      </c>
      <c r="J2" s="13" t="s">
        <v>40</v>
      </c>
      <c r="K2" s="10" t="s">
        <v>44</v>
      </c>
      <c r="L2" s="14" t="s">
        <v>119</v>
      </c>
    </row>
    <row r="3" spans="1:12" ht="61.5" customHeight="1" x14ac:dyDescent="0.35">
      <c r="A3" s="10" t="s">
        <v>45</v>
      </c>
      <c r="B3" s="11" t="s">
        <v>38</v>
      </c>
      <c r="C3" s="12" t="s">
        <v>39</v>
      </c>
      <c r="D3" s="10" t="s">
        <v>40</v>
      </c>
      <c r="E3" s="12" t="s">
        <v>46</v>
      </c>
      <c r="F3" s="11" t="s">
        <v>47</v>
      </c>
      <c r="G3" s="11" t="s">
        <v>48</v>
      </c>
      <c r="H3" s="10">
        <v>14</v>
      </c>
      <c r="I3" s="13">
        <v>2</v>
      </c>
      <c r="J3" s="13" t="s">
        <v>40</v>
      </c>
      <c r="K3" s="10"/>
      <c r="L3" s="14"/>
    </row>
    <row r="4" spans="1:12" ht="61.5" customHeight="1" x14ac:dyDescent="0.35">
      <c r="A4" s="10" t="s">
        <v>49</v>
      </c>
      <c r="B4" s="11" t="s">
        <v>38</v>
      </c>
      <c r="C4" s="12" t="s">
        <v>39</v>
      </c>
      <c r="D4" s="10" t="s">
        <v>40</v>
      </c>
      <c r="E4" s="12" t="s">
        <v>50</v>
      </c>
      <c r="F4" s="11" t="s">
        <v>51</v>
      </c>
      <c r="G4" s="11" t="s">
        <v>52</v>
      </c>
      <c r="H4" s="10">
        <v>12</v>
      </c>
      <c r="I4" s="13">
        <v>0</v>
      </c>
      <c r="J4" s="13" t="s">
        <v>40</v>
      </c>
      <c r="K4" s="10"/>
      <c r="L4" s="14"/>
    </row>
    <row r="5" spans="1:12" ht="61.5" customHeight="1" x14ac:dyDescent="0.35">
      <c r="A5" s="10" t="s">
        <v>53</v>
      </c>
      <c r="B5" s="11" t="s">
        <v>54</v>
      </c>
      <c r="C5" s="12" t="s">
        <v>55</v>
      </c>
      <c r="D5" s="10" t="s">
        <v>56</v>
      </c>
      <c r="E5" s="12" t="s">
        <v>57</v>
      </c>
      <c r="F5" s="11" t="s">
        <v>47</v>
      </c>
      <c r="G5" s="11" t="s">
        <v>58</v>
      </c>
      <c r="H5" s="10">
        <v>18</v>
      </c>
      <c r="I5" s="13">
        <v>1</v>
      </c>
      <c r="J5" s="13" t="s">
        <v>40</v>
      </c>
      <c r="K5" s="10" t="s">
        <v>44</v>
      </c>
      <c r="L5" s="14" t="s">
        <v>117</v>
      </c>
    </row>
    <row r="6" spans="1:12" ht="61.5" customHeight="1" x14ac:dyDescent="0.35">
      <c r="A6" s="10" t="s">
        <v>59</v>
      </c>
      <c r="B6" s="11" t="s">
        <v>54</v>
      </c>
      <c r="C6" s="12" t="s">
        <v>55</v>
      </c>
      <c r="D6" s="10" t="s">
        <v>56</v>
      </c>
      <c r="E6" s="12" t="s">
        <v>60</v>
      </c>
      <c r="F6" s="11" t="s">
        <v>61</v>
      </c>
      <c r="G6" s="11" t="s">
        <v>62</v>
      </c>
      <c r="H6" s="10">
        <v>7</v>
      </c>
      <c r="I6" s="13">
        <v>0</v>
      </c>
      <c r="J6" s="13" t="s">
        <v>92</v>
      </c>
      <c r="K6" s="10"/>
      <c r="L6" s="14"/>
    </row>
    <row r="7" spans="1:12" ht="61.5" customHeight="1" x14ac:dyDescent="0.35">
      <c r="A7" s="10" t="s">
        <v>63</v>
      </c>
      <c r="B7" s="11" t="s">
        <v>54</v>
      </c>
      <c r="C7" s="12" t="s">
        <v>55</v>
      </c>
      <c r="D7" s="10" t="s">
        <v>56</v>
      </c>
      <c r="E7" s="12" t="s">
        <v>64</v>
      </c>
      <c r="F7" s="11" t="s">
        <v>65</v>
      </c>
      <c r="G7" s="11" t="s">
        <v>66</v>
      </c>
      <c r="H7" s="10">
        <v>9</v>
      </c>
      <c r="I7" s="13">
        <v>1</v>
      </c>
      <c r="J7" s="13" t="s">
        <v>40</v>
      </c>
      <c r="K7" s="10"/>
      <c r="L7" s="14"/>
    </row>
    <row r="8" spans="1:12" ht="61.5" customHeight="1" x14ac:dyDescent="0.35">
      <c r="A8" s="10" t="s">
        <v>67</v>
      </c>
      <c r="B8" s="11" t="s">
        <v>68</v>
      </c>
      <c r="C8" s="12" t="s">
        <v>69</v>
      </c>
      <c r="D8" s="10" t="s">
        <v>70</v>
      </c>
      <c r="E8" s="12" t="s">
        <v>71</v>
      </c>
      <c r="F8" s="11" t="s">
        <v>42</v>
      </c>
      <c r="G8" s="11" t="s">
        <v>72</v>
      </c>
      <c r="H8" s="10">
        <v>15</v>
      </c>
      <c r="I8" s="13">
        <v>2</v>
      </c>
      <c r="J8" s="13" t="s">
        <v>40</v>
      </c>
      <c r="K8" s="10"/>
      <c r="L8" s="14"/>
    </row>
    <row r="9" spans="1:12" ht="61.5" customHeight="1" x14ac:dyDescent="0.35">
      <c r="A9" s="10" t="s">
        <v>73</v>
      </c>
      <c r="B9" s="11" t="s">
        <v>68</v>
      </c>
      <c r="C9" s="12" t="s">
        <v>69</v>
      </c>
      <c r="D9" s="10" t="s">
        <v>70</v>
      </c>
      <c r="E9" s="12" t="s">
        <v>46</v>
      </c>
      <c r="F9" s="11" t="s">
        <v>47</v>
      </c>
      <c r="G9" s="11" t="s">
        <v>48</v>
      </c>
      <c r="H9" s="10">
        <v>14</v>
      </c>
      <c r="I9" s="13">
        <v>2</v>
      </c>
      <c r="J9" s="13" t="s">
        <v>40</v>
      </c>
      <c r="K9" s="10" t="s">
        <v>44</v>
      </c>
      <c r="L9" s="14" t="s">
        <v>118</v>
      </c>
    </row>
    <row r="10" spans="1:12" ht="61.5" customHeight="1" x14ac:dyDescent="0.35">
      <c r="A10" s="10" t="s">
        <v>74</v>
      </c>
      <c r="B10" s="11" t="s">
        <v>68</v>
      </c>
      <c r="C10" s="12" t="s">
        <v>69</v>
      </c>
      <c r="D10" s="10" t="s">
        <v>70</v>
      </c>
      <c r="E10" s="12" t="s">
        <v>60</v>
      </c>
      <c r="F10" s="11" t="s">
        <v>61</v>
      </c>
      <c r="G10" s="11" t="s">
        <v>62</v>
      </c>
      <c r="H10" s="10">
        <v>7</v>
      </c>
      <c r="I10" s="13">
        <v>0</v>
      </c>
      <c r="J10" s="13" t="s">
        <v>70</v>
      </c>
      <c r="K10" s="10"/>
      <c r="L10" s="14"/>
    </row>
    <row r="11" spans="1:12" ht="61.5" customHeight="1" x14ac:dyDescent="0.35">
      <c r="A11" s="10" t="s">
        <v>75</v>
      </c>
      <c r="B11" s="11" t="s">
        <v>38</v>
      </c>
      <c r="C11" s="12" t="s">
        <v>39</v>
      </c>
      <c r="D11" s="10" t="s">
        <v>40</v>
      </c>
      <c r="E11" s="12" t="s">
        <v>46</v>
      </c>
      <c r="F11" s="11" t="s">
        <v>47</v>
      </c>
      <c r="G11" s="11" t="s">
        <v>48</v>
      </c>
      <c r="H11" s="10">
        <v>14</v>
      </c>
      <c r="I11" s="13">
        <v>2</v>
      </c>
      <c r="J11" s="13" t="s">
        <v>40</v>
      </c>
      <c r="K11" s="10"/>
      <c r="L11" s="14"/>
    </row>
    <row r="12" spans="1:12" ht="61.5" customHeight="1" x14ac:dyDescent="0.35">
      <c r="A12" s="10" t="s">
        <v>76</v>
      </c>
      <c r="B12" s="11" t="s">
        <v>77</v>
      </c>
      <c r="C12" s="12" t="s">
        <v>78</v>
      </c>
      <c r="D12" s="10" t="s">
        <v>70</v>
      </c>
      <c r="E12" s="12" t="s">
        <v>79</v>
      </c>
      <c r="F12" s="11" t="s">
        <v>47</v>
      </c>
      <c r="G12" s="11" t="s">
        <v>80</v>
      </c>
      <c r="H12" s="10">
        <v>6</v>
      </c>
      <c r="I12" s="13">
        <v>1</v>
      </c>
      <c r="J12" s="13" t="s">
        <v>70</v>
      </c>
      <c r="K12" s="10"/>
      <c r="L12" s="14"/>
    </row>
    <row r="13" spans="1:12" ht="61.5" customHeight="1" x14ac:dyDescent="0.35">
      <c r="A13" s="10" t="s">
        <v>81</v>
      </c>
      <c r="B13" s="11" t="s">
        <v>77</v>
      </c>
      <c r="C13" s="12" t="s">
        <v>78</v>
      </c>
      <c r="D13" s="10" t="s">
        <v>70</v>
      </c>
      <c r="E13" s="12" t="s">
        <v>46</v>
      </c>
      <c r="F13" s="11" t="s">
        <v>47</v>
      </c>
      <c r="G13" s="11" t="s">
        <v>48</v>
      </c>
      <c r="H13" s="10">
        <v>14</v>
      </c>
      <c r="I13" s="13">
        <v>1</v>
      </c>
      <c r="J13" s="13" t="s">
        <v>40</v>
      </c>
      <c r="K13" s="10" t="s">
        <v>44</v>
      </c>
      <c r="L13" s="14" t="s">
        <v>120</v>
      </c>
    </row>
    <row r="14" spans="1:12" ht="61.5" customHeight="1" x14ac:dyDescent="0.35">
      <c r="A14" s="10" t="s">
        <v>82</v>
      </c>
      <c r="B14" s="11" t="s">
        <v>77</v>
      </c>
      <c r="C14" s="12" t="s">
        <v>78</v>
      </c>
      <c r="D14" s="10" t="s">
        <v>70</v>
      </c>
      <c r="E14" s="12" t="s">
        <v>64</v>
      </c>
      <c r="F14" s="11" t="s">
        <v>65</v>
      </c>
      <c r="G14" s="11" t="s">
        <v>66</v>
      </c>
      <c r="H14" s="10">
        <v>9</v>
      </c>
      <c r="I14" s="13">
        <v>1</v>
      </c>
      <c r="J14" s="13" t="s">
        <v>40</v>
      </c>
      <c r="K14" s="10"/>
      <c r="L14" s="14"/>
    </row>
    <row r="15" spans="1:12" ht="61.5" customHeight="1" x14ac:dyDescent="0.35">
      <c r="A15" s="10" t="s">
        <v>83</v>
      </c>
      <c r="B15" s="11" t="s">
        <v>84</v>
      </c>
      <c r="C15" s="12" t="s">
        <v>85</v>
      </c>
      <c r="D15" s="10" t="s">
        <v>56</v>
      </c>
      <c r="E15" s="12" t="s">
        <v>64</v>
      </c>
      <c r="F15" s="11" t="s">
        <v>65</v>
      </c>
      <c r="G15" s="11" t="s">
        <v>66</v>
      </c>
      <c r="H15" s="10">
        <v>9</v>
      </c>
      <c r="I15" s="13">
        <v>2</v>
      </c>
      <c r="J15" s="13" t="s">
        <v>40</v>
      </c>
      <c r="K15" s="10" t="s">
        <v>44</v>
      </c>
      <c r="L15" s="14" t="s">
        <v>121</v>
      </c>
    </row>
    <row r="16" spans="1:12" ht="61.5" customHeight="1" x14ac:dyDescent="0.35">
      <c r="A16" s="10" t="s">
        <v>86</v>
      </c>
      <c r="B16" s="11" t="s">
        <v>84</v>
      </c>
      <c r="C16" s="12" t="s">
        <v>85</v>
      </c>
      <c r="D16" s="10" t="s">
        <v>56</v>
      </c>
      <c r="E16" s="12" t="s">
        <v>41</v>
      </c>
      <c r="F16" s="11" t="s">
        <v>42</v>
      </c>
      <c r="G16" s="11" t="s">
        <v>43</v>
      </c>
      <c r="H16" s="10">
        <v>11</v>
      </c>
      <c r="I16" s="13">
        <v>2</v>
      </c>
      <c r="J16" s="13" t="s">
        <v>40</v>
      </c>
      <c r="K16" s="10"/>
      <c r="L16" s="14"/>
    </row>
    <row r="17" spans="1:12" ht="61.5" customHeight="1" x14ac:dyDescent="0.35">
      <c r="A17" s="10" t="s">
        <v>87</v>
      </c>
      <c r="B17" s="11" t="s">
        <v>84</v>
      </c>
      <c r="C17" s="12" t="s">
        <v>85</v>
      </c>
      <c r="D17" s="10" t="s">
        <v>56</v>
      </c>
      <c r="E17" s="12" t="s">
        <v>57</v>
      </c>
      <c r="F17" s="11" t="s">
        <v>47</v>
      </c>
      <c r="G17" s="11" t="s">
        <v>58</v>
      </c>
      <c r="H17" s="10">
        <v>18</v>
      </c>
      <c r="I17" s="13">
        <v>1</v>
      </c>
      <c r="J17" s="13" t="s">
        <v>70</v>
      </c>
      <c r="K17" s="10"/>
      <c r="L17" s="14"/>
    </row>
    <row r="18" spans="1:12" ht="61.5" customHeight="1" x14ac:dyDescent="0.35">
      <c r="A18" s="10" t="s">
        <v>88</v>
      </c>
      <c r="B18" s="11" t="s">
        <v>54</v>
      </c>
      <c r="C18" s="12" t="s">
        <v>55</v>
      </c>
      <c r="D18" s="10" t="s">
        <v>56</v>
      </c>
      <c r="E18" s="12" t="s">
        <v>60</v>
      </c>
      <c r="F18" s="11" t="s">
        <v>61</v>
      </c>
      <c r="G18" s="11" t="s">
        <v>62</v>
      </c>
      <c r="H18" s="10">
        <v>7</v>
      </c>
      <c r="I18" s="13">
        <v>1</v>
      </c>
      <c r="J18" s="13" t="s">
        <v>40</v>
      </c>
      <c r="K18" s="10"/>
      <c r="L18" s="14"/>
    </row>
    <row r="19" spans="1:12" ht="61.5" customHeight="1" x14ac:dyDescent="0.35">
      <c r="A19" s="10" t="s">
        <v>89</v>
      </c>
      <c r="B19" s="11" t="s">
        <v>90</v>
      </c>
      <c r="C19" s="12" t="s">
        <v>91</v>
      </c>
      <c r="D19" s="10" t="s">
        <v>92</v>
      </c>
      <c r="E19" s="12" t="s">
        <v>71</v>
      </c>
      <c r="F19" s="11" t="s">
        <v>42</v>
      </c>
      <c r="G19" s="11" t="s">
        <v>72</v>
      </c>
      <c r="H19" s="10">
        <v>15</v>
      </c>
      <c r="I19" s="13">
        <v>2</v>
      </c>
      <c r="J19" s="13" t="s">
        <v>40</v>
      </c>
      <c r="K19" s="10"/>
      <c r="L19" s="14"/>
    </row>
    <row r="20" spans="1:12" ht="61.5" customHeight="1" x14ac:dyDescent="0.35">
      <c r="A20" s="10" t="s">
        <v>93</v>
      </c>
      <c r="B20" s="11" t="s">
        <v>90</v>
      </c>
      <c r="C20" s="12" t="s">
        <v>91</v>
      </c>
      <c r="D20" s="10" t="s">
        <v>92</v>
      </c>
      <c r="E20" s="12" t="s">
        <v>46</v>
      </c>
      <c r="F20" s="11" t="s">
        <v>47</v>
      </c>
      <c r="G20" s="11" t="s">
        <v>48</v>
      </c>
      <c r="H20" s="10">
        <v>14</v>
      </c>
      <c r="I20" s="13">
        <v>1</v>
      </c>
      <c r="J20" s="13" t="s">
        <v>70</v>
      </c>
      <c r="K20" s="10" t="s">
        <v>44</v>
      </c>
      <c r="L20" s="14" t="s">
        <v>122</v>
      </c>
    </row>
    <row r="21" spans="1:12" ht="61.5" customHeight="1" x14ac:dyDescent="0.35">
      <c r="A21" s="10" t="s">
        <v>94</v>
      </c>
      <c r="B21" s="11" t="s">
        <v>90</v>
      </c>
      <c r="C21" s="12" t="s">
        <v>91</v>
      </c>
      <c r="D21" s="10" t="s">
        <v>92</v>
      </c>
      <c r="E21" s="12" t="s">
        <v>79</v>
      </c>
      <c r="F21" s="11" t="s">
        <v>47</v>
      </c>
      <c r="G21" s="11" t="s">
        <v>80</v>
      </c>
      <c r="H21" s="10">
        <v>6</v>
      </c>
      <c r="I21" s="13">
        <v>1</v>
      </c>
      <c r="J21" s="13" t="s">
        <v>70</v>
      </c>
      <c r="K21" s="10"/>
      <c r="L21" s="14"/>
    </row>
    <row r="22" spans="1:12" ht="61.5" customHeight="1" x14ac:dyDescent="0.35">
      <c r="A22" s="10" t="s">
        <v>95</v>
      </c>
      <c r="B22" s="11" t="s">
        <v>77</v>
      </c>
      <c r="C22" s="12" t="s">
        <v>78</v>
      </c>
      <c r="D22" s="10" t="s">
        <v>70</v>
      </c>
      <c r="E22" s="12" t="s">
        <v>79</v>
      </c>
      <c r="F22" s="11" t="s">
        <v>47</v>
      </c>
      <c r="G22" s="11" t="s">
        <v>80</v>
      </c>
      <c r="H22" s="10">
        <v>6</v>
      </c>
      <c r="I22" s="13">
        <v>1</v>
      </c>
      <c r="J22" s="13" t="s">
        <v>70</v>
      </c>
      <c r="K22" s="10"/>
      <c r="L22" s="14"/>
    </row>
  </sheetData>
  <dataValidations count="2">
    <dataValidation type="list" allowBlank="1" showErrorMessage="1" errorTitle="Valor no válido" error="Solo se admite 0, 1 o 2." sqref="I2:I22" xr:uid="{00000000-0002-0000-0100-000000000000}">
      <formula1>"0,1,2"</formula1>
      <formula2>0</formula2>
    </dataValidation>
    <dataValidation type="list" allowBlank="1" showErrorMessage="1" errorTitle="Valor no válido" error="Solo se admite Alta, Media o Baja." sqref="J2:J22" xr:uid="{00000000-0002-0000-0100-000001000000}">
      <formula1>"Alta,Media,Baja"</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E29"/>
  <sheetViews>
    <sheetView showGridLines="0" tabSelected="1" zoomScaleNormal="100" workbookViewId="0">
      <selection activeCell="I28" sqref="I28"/>
    </sheetView>
  </sheetViews>
  <sheetFormatPr baseColWidth="10" defaultColWidth="8.6328125" defaultRowHeight="14.5" x14ac:dyDescent="0.35"/>
  <cols>
    <col min="1" max="1" width="3" customWidth="1"/>
    <col min="2" max="2" width="34" customWidth="1"/>
    <col min="3" max="5" width="26" customWidth="1"/>
  </cols>
  <sheetData>
    <row r="2" spans="2:5" ht="19" x14ac:dyDescent="0.35">
      <c r="B2" s="15" t="s">
        <v>96</v>
      </c>
    </row>
    <row r="4" spans="2:5" ht="26" x14ac:dyDescent="0.35">
      <c r="B4" s="2" t="s">
        <v>97</v>
      </c>
    </row>
    <row r="6" spans="2:5" x14ac:dyDescent="0.35">
      <c r="B6" s="16" t="s">
        <v>98</v>
      </c>
      <c r="C6" s="16" t="s">
        <v>99</v>
      </c>
      <c r="D6" s="16" t="s">
        <v>100</v>
      </c>
      <c r="E6" s="16" t="s">
        <v>101</v>
      </c>
    </row>
    <row r="7" spans="2:5" x14ac:dyDescent="0.35">
      <c r="B7" s="17" t="s">
        <v>102</v>
      </c>
      <c r="C7" s="22">
        <v>46264</v>
      </c>
      <c r="D7" s="23">
        <v>0.875</v>
      </c>
      <c r="E7" s="23">
        <v>0.90972222222222221</v>
      </c>
    </row>
    <row r="8" spans="2:5" x14ac:dyDescent="0.35">
      <c r="B8" s="17" t="s">
        <v>103</v>
      </c>
      <c r="C8" s="22">
        <v>46265</v>
      </c>
      <c r="D8" s="23">
        <v>0.91666666666666663</v>
      </c>
      <c r="E8" s="23">
        <v>0.93055555555555558</v>
      </c>
    </row>
    <row r="9" spans="2:5" x14ac:dyDescent="0.35">
      <c r="B9" s="17" t="s">
        <v>104</v>
      </c>
      <c r="C9" s="22">
        <v>46266</v>
      </c>
      <c r="D9" s="23">
        <v>0.375</v>
      </c>
      <c r="E9" s="23">
        <v>0.41666666666666669</v>
      </c>
    </row>
    <row r="10" spans="2:5" x14ac:dyDescent="0.35">
      <c r="B10" s="17" t="s">
        <v>105</v>
      </c>
      <c r="C10" s="22">
        <v>46266</v>
      </c>
      <c r="D10" s="23">
        <v>0.375</v>
      </c>
      <c r="E10" s="23">
        <v>0.41666666666666669</v>
      </c>
    </row>
    <row r="12" spans="2:5" ht="15.5" x14ac:dyDescent="0.35">
      <c r="B12" s="3" t="s">
        <v>106</v>
      </c>
    </row>
    <row r="13" spans="2:5" x14ac:dyDescent="0.35">
      <c r="B13" s="19" t="s">
        <v>107</v>
      </c>
      <c r="C13" s="20">
        <f>COUNTA(Adjudicación!I2:I22)</f>
        <v>21</v>
      </c>
      <c r="D13" s="21" t="s">
        <v>108</v>
      </c>
    </row>
    <row r="15" spans="2:5" ht="31" x14ac:dyDescent="0.35">
      <c r="B15" s="3" t="s">
        <v>109</v>
      </c>
    </row>
    <row r="16" spans="2:5" ht="18" customHeight="1" x14ac:dyDescent="0.35">
      <c r="B16" s="2" t="s">
        <v>110</v>
      </c>
    </row>
    <row r="17" spans="2:5" ht="19.5" customHeight="1" x14ac:dyDescent="0.35">
      <c r="B17" s="18"/>
      <c r="C17" s="18"/>
      <c r="D17" s="18"/>
      <c r="E17" s="18"/>
    </row>
    <row r="18" spans="2:5" ht="19.5" customHeight="1" x14ac:dyDescent="0.35">
      <c r="B18" s="18"/>
      <c r="C18" s="18"/>
      <c r="D18" s="18"/>
      <c r="E18" s="18"/>
    </row>
    <row r="19" spans="2:5" ht="19.5" customHeight="1" x14ac:dyDescent="0.35">
      <c r="B19" s="18"/>
      <c r="C19" s="18"/>
      <c r="D19" s="18"/>
      <c r="E19" s="18"/>
    </row>
    <row r="20" spans="2:5" ht="19.5" customHeight="1" x14ac:dyDescent="0.35">
      <c r="B20" s="18"/>
      <c r="C20" s="18"/>
      <c r="D20" s="18"/>
      <c r="E20" s="18"/>
    </row>
    <row r="23" spans="2:5" ht="15.5" x14ac:dyDescent="0.35">
      <c r="B23" s="3" t="s">
        <v>111</v>
      </c>
    </row>
    <row r="24" spans="2:5" ht="31.5" customHeight="1" x14ac:dyDescent="0.35">
      <c r="B24" s="4" t="s">
        <v>112</v>
      </c>
    </row>
    <row r="26" spans="2:5" x14ac:dyDescent="0.35">
      <c r="B26" s="16" t="s">
        <v>113</v>
      </c>
      <c r="C26" s="16" t="s">
        <v>114</v>
      </c>
      <c r="D26" s="16" t="s">
        <v>99</v>
      </c>
      <c r="E26" s="16" t="s">
        <v>115</v>
      </c>
    </row>
    <row r="27" spans="2:5" ht="21.75" customHeight="1" x14ac:dyDescent="0.35">
      <c r="B27" s="18" t="s">
        <v>123</v>
      </c>
      <c r="C27" s="18">
        <v>45581</v>
      </c>
      <c r="D27" s="22">
        <v>46266</v>
      </c>
      <c r="E27" s="18" t="s">
        <v>124</v>
      </c>
    </row>
    <row r="29" spans="2:5" ht="24" x14ac:dyDescent="0.35">
      <c r="B29" s="8" t="s">
        <v>116</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Instrucciones</vt:lpstr>
      <vt:lpstr>Adjudicación</vt:lpstr>
      <vt:lpstr>Registro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AUGUSTO MANUEL VASQUEZ CARRASCO</cp:lastModifiedBy>
  <cp:revision>0</cp:revision>
  <dcterms:created xsi:type="dcterms:W3CDTF">2026-08-26T14:48:30Z</dcterms:created>
  <dcterms:modified xsi:type="dcterms:W3CDTF">2026-09-01T16:20:43Z</dcterms:modified>
  <dc:language>en-US</dc:language>
</cp:coreProperties>
</file>